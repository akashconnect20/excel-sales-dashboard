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vikas\Downloads\"/>
    </mc:Choice>
  </mc:AlternateContent>
  <xr:revisionPtr revIDLastSave="0" documentId="8_{81C8667F-BB0B-4AE0-83C4-7F922EB1D678}" xr6:coauthVersionLast="47" xr6:coauthVersionMax="47" xr10:uidLastSave="{00000000-0000-0000-0000-000000000000}"/>
  <bookViews>
    <workbookView xWindow="-108" yWindow="-108" windowWidth="23256" windowHeight="12456" tabRatio="856" activeTab="8" xr2:uid="{00000000-000D-0000-FFFF-FFFF00000000}"/>
  </bookViews>
  <sheets>
    <sheet name="DASHBOARD" sheetId="4" r:id="rId1"/>
    <sheet name="KPI Card" sheetId="7" r:id="rId2"/>
    <sheet name="Insights" sheetId="17" r:id="rId3"/>
    <sheet name="REGION WISE SALE" sheetId="3" r:id="rId4"/>
    <sheet name="CHANNEL WISE SALES" sheetId="12" r:id="rId5"/>
    <sheet name="Segment-wise Sales" sheetId="13" r:id="rId6"/>
    <sheet name="Top 5 Salespersons" sheetId="14" r:id="rId7"/>
    <sheet name="Gross vs Net Sales Month-wise" sheetId="15" r:id="rId8"/>
    <sheet name="Tata Motors Sales Data" sheetId="1" r:id="rId9"/>
  </sheets>
  <definedNames>
    <definedName name="_xlnm._FilterDatabase" localSheetId="8" hidden="1">'Tata Motors Sales Data'!$B$1:$B$652</definedName>
    <definedName name="NativeTimeline_Order_Date">#N/A</definedName>
    <definedName name="Slicer_Model_Name">#N/A</definedName>
    <definedName name="Slicer_Region">#N/A</definedName>
    <definedName name="Slicer_Sales_Channel">#N/A</definedName>
    <definedName name="Slicer_Segment">#N/A</definedName>
    <definedName name="Slicer_St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484" i="1" l="1"/>
  <c r="U485" i="1"/>
  <c r="U542" i="1"/>
  <c r="U543" i="1"/>
  <c r="U544" i="1"/>
  <c r="U545" i="1"/>
  <c r="U594" i="1"/>
  <c r="U595" i="1"/>
  <c r="U596" i="1"/>
  <c r="U2" i="1"/>
  <c r="U43" i="1"/>
  <c r="U44" i="1"/>
  <c r="U102" i="1"/>
  <c r="U151" i="1"/>
  <c r="U152" i="1"/>
  <c r="U197" i="1"/>
  <c r="U198" i="1"/>
  <c r="U253" i="1"/>
  <c r="U254" i="1"/>
  <c r="U255" i="1"/>
  <c r="U429" i="1"/>
  <c r="U486" i="1"/>
  <c r="U487" i="1"/>
  <c r="U488" i="1"/>
  <c r="U489" i="1"/>
  <c r="U490" i="1"/>
  <c r="U597" i="1"/>
  <c r="U598" i="1"/>
  <c r="U3" i="1"/>
  <c r="U45" i="1"/>
  <c r="U46" i="1"/>
  <c r="U47" i="1"/>
  <c r="U153" i="1"/>
  <c r="U154" i="1"/>
  <c r="U199" i="1"/>
  <c r="U200" i="1"/>
  <c r="U256" i="1"/>
  <c r="U257" i="1"/>
  <c r="U258" i="1"/>
  <c r="U259" i="1"/>
  <c r="U260" i="1"/>
  <c r="U306" i="1"/>
  <c r="U307" i="1"/>
  <c r="U308" i="1"/>
  <c r="U309" i="1"/>
  <c r="U310" i="1"/>
  <c r="U311" i="1"/>
  <c r="U430" i="1"/>
  <c r="U491" i="1"/>
  <c r="U492" i="1"/>
  <c r="U546" i="1"/>
  <c r="U547" i="1"/>
  <c r="U599" i="1"/>
  <c r="U600" i="1"/>
  <c r="U601" i="1"/>
  <c r="U4" i="1"/>
  <c r="U5" i="1"/>
  <c r="U6" i="1"/>
  <c r="U7" i="1"/>
  <c r="U8" i="1"/>
  <c r="U201" i="1"/>
  <c r="U261" i="1"/>
  <c r="U262" i="1"/>
  <c r="U374" i="1"/>
  <c r="U375" i="1"/>
  <c r="U376" i="1"/>
  <c r="U548" i="1"/>
  <c r="U549" i="1"/>
  <c r="U550" i="1"/>
  <c r="U551" i="1"/>
  <c r="U602" i="1"/>
  <c r="U9" i="1"/>
  <c r="U103" i="1"/>
  <c r="U104" i="1"/>
  <c r="U105" i="1"/>
  <c r="U155" i="1"/>
  <c r="U263" i="1"/>
  <c r="U312" i="1"/>
  <c r="U313" i="1"/>
  <c r="U314" i="1"/>
  <c r="U377" i="1"/>
  <c r="U431" i="1"/>
  <c r="U493" i="1"/>
  <c r="U603" i="1"/>
  <c r="U604" i="1"/>
  <c r="U605" i="1"/>
  <c r="U606" i="1"/>
  <c r="U10" i="1"/>
  <c r="U11" i="1"/>
  <c r="U48" i="1"/>
  <c r="U49" i="1"/>
  <c r="U50" i="1"/>
  <c r="U51" i="1"/>
  <c r="U52" i="1"/>
  <c r="U156" i="1"/>
  <c r="U157" i="1"/>
  <c r="U202" i="1"/>
  <c r="U264" i="1"/>
  <c r="U265" i="1"/>
  <c r="U266" i="1"/>
  <c r="U315" i="1"/>
  <c r="U432" i="1"/>
  <c r="U433" i="1"/>
  <c r="U494" i="1"/>
  <c r="U607" i="1"/>
  <c r="U608" i="1"/>
  <c r="U609" i="1"/>
  <c r="U610" i="1"/>
  <c r="U53" i="1"/>
  <c r="U106" i="1"/>
  <c r="U107" i="1"/>
  <c r="U158" i="1"/>
  <c r="U159" i="1"/>
  <c r="U203" i="1"/>
  <c r="U204" i="1"/>
  <c r="U267" i="1"/>
  <c r="U268" i="1"/>
  <c r="U269" i="1"/>
  <c r="U316" i="1"/>
  <c r="U317" i="1"/>
  <c r="U318" i="1"/>
  <c r="U319" i="1"/>
  <c r="U378" i="1"/>
  <c r="U379" i="1"/>
  <c r="U380" i="1"/>
  <c r="U381" i="1"/>
  <c r="U382" i="1"/>
  <c r="U383" i="1"/>
  <c r="U434" i="1"/>
  <c r="U495" i="1"/>
  <c r="U496" i="1"/>
  <c r="U12" i="1"/>
  <c r="U54" i="1"/>
  <c r="U55" i="1"/>
  <c r="U108" i="1"/>
  <c r="U160" i="1"/>
  <c r="U161" i="1"/>
  <c r="U162" i="1"/>
  <c r="U163" i="1"/>
  <c r="U164" i="1"/>
  <c r="U205" i="1"/>
  <c r="U270" i="1"/>
  <c r="U320" i="1"/>
  <c r="U321" i="1"/>
  <c r="U322" i="1"/>
  <c r="U323" i="1"/>
  <c r="U384" i="1"/>
  <c r="U385" i="1"/>
  <c r="U435" i="1"/>
  <c r="U436" i="1"/>
  <c r="U437" i="1"/>
  <c r="U438" i="1"/>
  <c r="U439" i="1"/>
  <c r="U497" i="1"/>
  <c r="U498" i="1"/>
  <c r="U552" i="1"/>
  <c r="U553" i="1"/>
  <c r="U554" i="1"/>
  <c r="U13" i="1"/>
  <c r="U14" i="1"/>
  <c r="U56" i="1"/>
  <c r="U57" i="1"/>
  <c r="U109" i="1"/>
  <c r="U110" i="1"/>
  <c r="U111" i="1"/>
  <c r="U112" i="1"/>
  <c r="U165" i="1"/>
  <c r="U206" i="1"/>
  <c r="U207" i="1"/>
  <c r="U271" i="1"/>
  <c r="U272" i="1"/>
  <c r="U324" i="1"/>
  <c r="U440" i="1"/>
  <c r="U441" i="1"/>
  <c r="U442" i="1"/>
  <c r="U443" i="1"/>
  <c r="U444" i="1"/>
  <c r="U555" i="1"/>
  <c r="U556" i="1"/>
  <c r="U557" i="1"/>
  <c r="U15" i="1"/>
  <c r="U16" i="1"/>
  <c r="U17" i="1"/>
  <c r="U18" i="1"/>
  <c r="U58" i="1"/>
  <c r="U59" i="1"/>
  <c r="U113" i="1"/>
  <c r="U114" i="1"/>
  <c r="U166" i="1"/>
  <c r="U167" i="1"/>
  <c r="U208" i="1"/>
  <c r="U209" i="1"/>
  <c r="U273" i="1"/>
  <c r="U274" i="1"/>
  <c r="U275" i="1"/>
  <c r="U325" i="1"/>
  <c r="U386" i="1"/>
  <c r="U387" i="1"/>
  <c r="U388" i="1"/>
  <c r="U558" i="1"/>
  <c r="U611" i="1"/>
  <c r="U60" i="1"/>
  <c r="U61" i="1"/>
  <c r="U62" i="1"/>
  <c r="U168" i="1"/>
  <c r="U276" i="1"/>
  <c r="U277" i="1"/>
  <c r="U326" i="1"/>
  <c r="U327" i="1"/>
  <c r="U389" i="1"/>
  <c r="U390" i="1"/>
  <c r="U445" i="1"/>
  <c r="U499" i="1"/>
  <c r="U500" i="1"/>
  <c r="U501" i="1"/>
  <c r="U559" i="1"/>
  <c r="U612" i="1"/>
  <c r="U613" i="1"/>
  <c r="U614" i="1"/>
  <c r="U19" i="1"/>
  <c r="U63" i="1"/>
  <c r="U115" i="1"/>
  <c r="U116" i="1"/>
  <c r="U117" i="1"/>
  <c r="U118" i="1"/>
  <c r="U169" i="1"/>
  <c r="U170" i="1"/>
  <c r="U210" i="1"/>
  <c r="U211" i="1"/>
  <c r="U212" i="1"/>
  <c r="U328" i="1"/>
  <c r="U391" i="1"/>
  <c r="U392" i="1"/>
  <c r="U446" i="1"/>
  <c r="U502" i="1"/>
  <c r="U503" i="1"/>
  <c r="U504" i="1"/>
  <c r="U615" i="1"/>
  <c r="U616" i="1"/>
  <c r="U20" i="1"/>
  <c r="U21" i="1"/>
  <c r="U64" i="1"/>
  <c r="U65" i="1"/>
  <c r="U66" i="1"/>
  <c r="U67" i="1"/>
  <c r="U119" i="1"/>
  <c r="U171" i="1"/>
  <c r="U213" i="1"/>
  <c r="U214" i="1"/>
  <c r="U329" i="1"/>
  <c r="U393" i="1"/>
  <c r="U394" i="1"/>
  <c r="U447" i="1"/>
  <c r="U505" i="1"/>
  <c r="U617" i="1"/>
  <c r="U618" i="1"/>
  <c r="U22" i="1"/>
  <c r="U68" i="1"/>
  <c r="U120" i="1"/>
  <c r="U121" i="1"/>
  <c r="U215" i="1"/>
  <c r="U216" i="1"/>
  <c r="U278" i="1"/>
  <c r="U330" i="1"/>
  <c r="U331" i="1"/>
  <c r="U395" i="1"/>
  <c r="U396" i="1"/>
  <c r="U397" i="1"/>
  <c r="U398" i="1"/>
  <c r="U448" i="1"/>
  <c r="U506" i="1"/>
  <c r="U507" i="1"/>
  <c r="U508" i="1"/>
  <c r="U560" i="1"/>
  <c r="U619" i="1"/>
  <c r="U620" i="1"/>
  <c r="U23" i="1"/>
  <c r="U69" i="1"/>
  <c r="U70" i="1"/>
  <c r="U122" i="1"/>
  <c r="U123" i="1"/>
  <c r="U124" i="1"/>
  <c r="U172" i="1"/>
  <c r="U173" i="1"/>
  <c r="U217" i="1"/>
  <c r="U218" i="1"/>
  <c r="U219" i="1"/>
  <c r="U279" i="1"/>
  <c r="U280" i="1"/>
  <c r="U281" i="1"/>
  <c r="U332" i="1"/>
  <c r="U333" i="1"/>
  <c r="U399" i="1"/>
  <c r="U400" i="1"/>
  <c r="U401" i="1"/>
  <c r="U402" i="1"/>
  <c r="U449" i="1"/>
  <c r="U509" i="1"/>
  <c r="U561" i="1"/>
  <c r="U562" i="1"/>
  <c r="U563" i="1"/>
  <c r="U621" i="1"/>
  <c r="U622" i="1"/>
  <c r="U24" i="1"/>
  <c r="U71" i="1"/>
  <c r="U72" i="1"/>
  <c r="U73" i="1"/>
  <c r="U74" i="1"/>
  <c r="U125" i="1"/>
  <c r="U126" i="1"/>
  <c r="U127" i="1"/>
  <c r="U174" i="1"/>
  <c r="U220" i="1"/>
  <c r="U221" i="1"/>
  <c r="U222" i="1"/>
  <c r="U334" i="1"/>
  <c r="U403" i="1"/>
  <c r="U404" i="1"/>
  <c r="U405" i="1"/>
  <c r="U450" i="1"/>
  <c r="U510" i="1"/>
  <c r="U511" i="1"/>
  <c r="U564" i="1"/>
  <c r="U565" i="1"/>
  <c r="U623" i="1"/>
  <c r="U624" i="1"/>
  <c r="U625" i="1"/>
  <c r="U75" i="1"/>
  <c r="U76" i="1"/>
  <c r="U77" i="1"/>
  <c r="U78" i="1"/>
  <c r="U128" i="1"/>
  <c r="U223" i="1"/>
  <c r="U282" i="1"/>
  <c r="U335" i="1"/>
  <c r="U336" i="1"/>
  <c r="U337" i="1"/>
  <c r="U406" i="1"/>
  <c r="U451" i="1"/>
  <c r="U512" i="1"/>
  <c r="U513" i="1"/>
  <c r="U626" i="1"/>
  <c r="U627" i="1"/>
  <c r="U628" i="1"/>
  <c r="U629" i="1"/>
  <c r="U25" i="1"/>
  <c r="U26" i="1"/>
  <c r="U79" i="1"/>
  <c r="U80" i="1"/>
  <c r="U81" i="1"/>
  <c r="U175" i="1"/>
  <c r="U176" i="1"/>
  <c r="U224" i="1"/>
  <c r="U283" i="1"/>
  <c r="U284" i="1"/>
  <c r="U285" i="1"/>
  <c r="U338" i="1"/>
  <c r="U339" i="1"/>
  <c r="U340" i="1"/>
  <c r="U407" i="1"/>
  <c r="U408" i="1"/>
  <c r="U452" i="1"/>
  <c r="U453" i="1"/>
  <c r="U566" i="1"/>
  <c r="U567" i="1"/>
  <c r="U568" i="1"/>
  <c r="U630" i="1"/>
  <c r="U82" i="1"/>
  <c r="U83" i="1"/>
  <c r="U129" i="1"/>
  <c r="U130" i="1"/>
  <c r="U225" i="1"/>
  <c r="U226" i="1"/>
  <c r="U227" i="1"/>
  <c r="U228" i="1"/>
  <c r="U286" i="1"/>
  <c r="U341" i="1"/>
  <c r="U342" i="1"/>
  <c r="U409" i="1"/>
  <c r="U454" i="1"/>
  <c r="U455" i="1"/>
  <c r="U456" i="1"/>
  <c r="U514" i="1"/>
  <c r="U515" i="1"/>
  <c r="U516" i="1"/>
  <c r="U569" i="1"/>
  <c r="U631" i="1"/>
  <c r="U632" i="1"/>
  <c r="U27" i="1"/>
  <c r="U28" i="1"/>
  <c r="U84" i="1"/>
  <c r="U85" i="1"/>
  <c r="U131" i="1"/>
  <c r="U132" i="1"/>
  <c r="U133" i="1"/>
  <c r="U177" i="1"/>
  <c r="U178" i="1"/>
  <c r="U179" i="1"/>
  <c r="U229" i="1"/>
  <c r="U230" i="1"/>
  <c r="U343" i="1"/>
  <c r="U344" i="1"/>
  <c r="U345" i="1"/>
  <c r="U346" i="1"/>
  <c r="U457" i="1"/>
  <c r="U458" i="1"/>
  <c r="U517" i="1"/>
  <c r="U570" i="1"/>
  <c r="U571" i="1"/>
  <c r="U633" i="1"/>
  <c r="U634" i="1"/>
  <c r="U635" i="1"/>
  <c r="U29" i="1"/>
  <c r="U134" i="1"/>
  <c r="U135" i="1"/>
  <c r="U180" i="1"/>
  <c r="U231" i="1"/>
  <c r="U232" i="1"/>
  <c r="U233" i="1"/>
  <c r="U234" i="1"/>
  <c r="U287" i="1"/>
  <c r="U288" i="1"/>
  <c r="U347" i="1"/>
  <c r="U348" i="1"/>
  <c r="U518" i="1"/>
  <c r="U519" i="1"/>
  <c r="U520" i="1"/>
  <c r="U572" i="1"/>
  <c r="U573" i="1"/>
  <c r="U574" i="1"/>
  <c r="U575" i="1"/>
  <c r="U30" i="1"/>
  <c r="U136" i="1"/>
  <c r="U235" i="1"/>
  <c r="U289" i="1"/>
  <c r="U290" i="1"/>
  <c r="U291" i="1"/>
  <c r="U349" i="1"/>
  <c r="U350" i="1"/>
  <c r="U410" i="1"/>
  <c r="U411" i="1"/>
  <c r="U412" i="1"/>
  <c r="U459" i="1"/>
  <c r="U460" i="1"/>
  <c r="U461" i="1"/>
  <c r="U521" i="1"/>
  <c r="U522" i="1"/>
  <c r="U523" i="1"/>
  <c r="U524" i="1"/>
  <c r="U576" i="1"/>
  <c r="U577" i="1"/>
  <c r="U578" i="1"/>
  <c r="U579" i="1"/>
  <c r="U636" i="1"/>
  <c r="U31" i="1"/>
  <c r="U32" i="1"/>
  <c r="U86" i="1"/>
  <c r="U87" i="1"/>
  <c r="U137" i="1"/>
  <c r="U181" i="1"/>
  <c r="U182" i="1"/>
  <c r="U183" i="1"/>
  <c r="U236" i="1"/>
  <c r="U237" i="1"/>
  <c r="U413" i="1"/>
  <c r="U462" i="1"/>
  <c r="U463" i="1"/>
  <c r="U580" i="1"/>
  <c r="U33" i="1"/>
  <c r="U34" i="1"/>
  <c r="U35" i="1"/>
  <c r="U138" i="1"/>
  <c r="U139" i="1"/>
  <c r="U184" i="1"/>
  <c r="U185" i="1"/>
  <c r="U292" i="1"/>
  <c r="U293" i="1"/>
  <c r="U351" i="1"/>
  <c r="U352" i="1"/>
  <c r="U353" i="1"/>
  <c r="U354" i="1"/>
  <c r="U355" i="1"/>
  <c r="U356" i="1"/>
  <c r="U464" i="1"/>
  <c r="U525" i="1"/>
  <c r="U581" i="1"/>
  <c r="U637" i="1"/>
  <c r="U88" i="1"/>
  <c r="U140" i="1"/>
  <c r="U141" i="1"/>
  <c r="U142" i="1"/>
  <c r="U143" i="1"/>
  <c r="U186" i="1"/>
  <c r="U187" i="1"/>
  <c r="U294" i="1"/>
  <c r="U295" i="1"/>
  <c r="U296" i="1"/>
  <c r="U297" i="1"/>
  <c r="U298" i="1"/>
  <c r="U357" i="1"/>
  <c r="U414" i="1"/>
  <c r="U415" i="1"/>
  <c r="U416" i="1"/>
  <c r="U465" i="1"/>
  <c r="U466" i="1"/>
  <c r="U467" i="1"/>
  <c r="U526" i="1"/>
  <c r="U527" i="1"/>
  <c r="U528" i="1"/>
  <c r="U529" i="1"/>
  <c r="U530" i="1"/>
  <c r="U531" i="1"/>
  <c r="U582" i="1"/>
  <c r="U638" i="1"/>
  <c r="U639" i="1"/>
  <c r="U640" i="1"/>
  <c r="U36" i="1"/>
  <c r="U89" i="1"/>
  <c r="U144" i="1"/>
  <c r="U145" i="1"/>
  <c r="U188" i="1"/>
  <c r="U238" i="1"/>
  <c r="U239" i="1"/>
  <c r="U358" i="1"/>
  <c r="U468" i="1"/>
  <c r="U583" i="1"/>
  <c r="U584" i="1"/>
  <c r="U585" i="1"/>
  <c r="U586" i="1"/>
  <c r="U641" i="1"/>
  <c r="U37" i="1"/>
  <c r="U38" i="1"/>
  <c r="U90" i="1"/>
  <c r="U91" i="1"/>
  <c r="U146" i="1"/>
  <c r="U147" i="1"/>
  <c r="U189" i="1"/>
  <c r="U190" i="1"/>
  <c r="U240" i="1"/>
  <c r="U241" i="1"/>
  <c r="U299" i="1"/>
  <c r="U359" i="1"/>
  <c r="U360" i="1"/>
  <c r="U417" i="1"/>
  <c r="U418" i="1"/>
  <c r="U419" i="1"/>
  <c r="U420" i="1"/>
  <c r="U421" i="1"/>
  <c r="U469" i="1"/>
  <c r="U470" i="1"/>
  <c r="U532" i="1"/>
  <c r="U533" i="1"/>
  <c r="U587" i="1"/>
  <c r="U588" i="1"/>
  <c r="U589" i="1"/>
  <c r="U590" i="1"/>
  <c r="U591" i="1"/>
  <c r="U642" i="1"/>
  <c r="U643" i="1"/>
  <c r="U644" i="1"/>
  <c r="U645" i="1"/>
  <c r="U39" i="1"/>
  <c r="U40" i="1"/>
  <c r="U92" i="1"/>
  <c r="U93" i="1"/>
  <c r="U148" i="1"/>
  <c r="U191" i="1"/>
  <c r="U192" i="1"/>
  <c r="U242" i="1"/>
  <c r="U243" i="1"/>
  <c r="U300" i="1"/>
  <c r="U361" i="1"/>
  <c r="U362" i="1"/>
  <c r="U422" i="1"/>
  <c r="U423" i="1"/>
  <c r="U424" i="1"/>
  <c r="U534" i="1"/>
  <c r="U535" i="1"/>
  <c r="U536" i="1"/>
  <c r="U537" i="1"/>
  <c r="U592" i="1"/>
  <c r="U593" i="1"/>
  <c r="U41" i="1"/>
  <c r="U94" i="1"/>
  <c r="U95" i="1"/>
  <c r="U96" i="1"/>
  <c r="U97" i="1"/>
  <c r="U193" i="1"/>
  <c r="U244" i="1"/>
  <c r="U301" i="1"/>
  <c r="U302" i="1"/>
  <c r="U363" i="1"/>
  <c r="U364" i="1"/>
  <c r="U365" i="1"/>
  <c r="U425" i="1"/>
  <c r="U471" i="1"/>
  <c r="U472" i="1"/>
  <c r="U473" i="1"/>
  <c r="U538" i="1"/>
  <c r="U646" i="1"/>
  <c r="U647" i="1"/>
  <c r="U42" i="1"/>
  <c r="U98" i="1"/>
  <c r="U99" i="1"/>
  <c r="U149" i="1"/>
  <c r="U150" i="1"/>
  <c r="U194" i="1"/>
  <c r="U245" i="1"/>
  <c r="U303" i="1"/>
  <c r="U366" i="1"/>
  <c r="U367" i="1"/>
  <c r="U368" i="1"/>
  <c r="U369" i="1"/>
  <c r="U370" i="1"/>
  <c r="U371" i="1"/>
  <c r="U426" i="1"/>
  <c r="U474" i="1"/>
  <c r="U475" i="1"/>
  <c r="U476" i="1"/>
  <c r="U539" i="1"/>
  <c r="U648" i="1"/>
  <c r="U649" i="1"/>
  <c r="U100" i="1"/>
  <c r="U101" i="1"/>
  <c r="U195" i="1"/>
  <c r="U196" i="1"/>
  <c r="U246" i="1"/>
  <c r="U247" i="1"/>
  <c r="U248" i="1"/>
  <c r="U249" i="1"/>
  <c r="U250" i="1"/>
  <c r="U251" i="1"/>
  <c r="U304" i="1"/>
  <c r="U305" i="1"/>
  <c r="U372" i="1"/>
  <c r="U373" i="1"/>
  <c r="U427" i="1"/>
  <c r="U428" i="1"/>
  <c r="U477" i="1"/>
  <c r="U540" i="1"/>
  <c r="U541" i="1"/>
  <c r="U650" i="1"/>
  <c r="U651" i="1"/>
  <c r="U252" i="1"/>
  <c r="U478" i="1"/>
  <c r="U479" i="1"/>
  <c r="U480" i="1"/>
  <c r="U481" i="1"/>
  <c r="U482" i="1"/>
  <c r="U483" i="1"/>
</calcChain>
</file>

<file path=xl/sharedStrings.xml><?xml version="1.0" encoding="utf-8"?>
<sst xmlns="http://schemas.openxmlformats.org/spreadsheetml/2006/main" count="6598" uniqueCount="182">
  <si>
    <t>Order ID</t>
  </si>
  <si>
    <t>Order Date</t>
  </si>
  <si>
    <t>Region</t>
  </si>
  <si>
    <t>State</t>
  </si>
  <si>
    <t>City</t>
  </si>
  <si>
    <t>Sales Channel</t>
  </si>
  <si>
    <t>Dealer</t>
  </si>
  <si>
    <t>Company</t>
  </si>
  <si>
    <t>Segment</t>
  </si>
  <si>
    <t>Model Name</t>
  </si>
  <si>
    <t>Variant</t>
  </si>
  <si>
    <t>Salesperson</t>
  </si>
  <si>
    <t>Units Sold</t>
  </si>
  <si>
    <t>Ex-Showroom Price</t>
  </si>
  <si>
    <t>Unit Price</t>
  </si>
  <si>
    <t>Discount %</t>
  </si>
  <si>
    <t>Return Units</t>
  </si>
  <si>
    <t>Gross Sales Value</t>
  </si>
  <si>
    <t>Discount Value</t>
  </si>
  <si>
    <t>Net Sales Value</t>
  </si>
  <si>
    <t>East</t>
  </si>
  <si>
    <t>Bihar</t>
  </si>
  <si>
    <t>Gaya</t>
  </si>
  <si>
    <t>Online Booking</t>
  </si>
  <si>
    <t>Big Wheels Auto</t>
  </si>
  <si>
    <t>Tata Motors</t>
  </si>
  <si>
    <t>PV - ICE</t>
  </si>
  <si>
    <t>Tigor</t>
  </si>
  <si>
    <t>XZ</t>
  </si>
  <si>
    <t>Anjali Rao</t>
  </si>
  <si>
    <t>Odisha</t>
  </si>
  <si>
    <t>Cuttack</t>
  </si>
  <si>
    <t>Exchange Program</t>
  </si>
  <si>
    <t>Sai Service Tata</t>
  </si>
  <si>
    <t>CV - SCV</t>
  </si>
  <si>
    <t>Ace Gold</t>
  </si>
  <si>
    <t>CNG</t>
  </si>
  <si>
    <t>Priya Nair</t>
  </si>
  <si>
    <t>South</t>
  </si>
  <si>
    <t>Tamil Nadu</t>
  </si>
  <si>
    <t>Coimbatore</t>
  </si>
  <si>
    <t>Authorized Dealer</t>
  </si>
  <si>
    <t>Reliance Trishakti</t>
  </si>
  <si>
    <t>CV - Pickup</t>
  </si>
  <si>
    <t>Intra V30</t>
  </si>
  <si>
    <t>Base</t>
  </si>
  <si>
    <t>Company Showroom</t>
  </si>
  <si>
    <t>Sunrise Tata Showroom</t>
  </si>
  <si>
    <t>Curvv</t>
  </si>
  <si>
    <t>Smart</t>
  </si>
  <si>
    <t>Amit Sharma</t>
  </si>
  <si>
    <t>North</t>
  </si>
  <si>
    <t>Uttar Pradesh</t>
  </si>
  <si>
    <t>Kanpur</t>
  </si>
  <si>
    <t>National Tata Dealership</t>
  </si>
  <si>
    <t>Haryana</t>
  </si>
  <si>
    <t>Gurugram</t>
  </si>
  <si>
    <t>Altroz</t>
  </si>
  <si>
    <t>XE</t>
  </si>
  <si>
    <t>Divya Pillai</t>
  </si>
  <si>
    <t>Faridabad</t>
  </si>
  <si>
    <t>Concorde Tata</t>
  </si>
  <si>
    <t>Accomplished</t>
  </si>
  <si>
    <t>Telangana</t>
  </si>
  <si>
    <t>Warangal</t>
  </si>
  <si>
    <t>Corporate/Fleet Sale</t>
  </si>
  <si>
    <t>Capital Cars</t>
  </si>
  <si>
    <t>PV - EV</t>
  </si>
  <si>
    <t>Punch EV</t>
  </si>
  <si>
    <t>West</t>
  </si>
  <si>
    <t>Gujarat</t>
  </si>
  <si>
    <t>Vadodara</t>
  </si>
  <si>
    <t>Metro Tata Motors</t>
  </si>
  <si>
    <t>Suresh Kumar</t>
  </si>
  <si>
    <t>West Bengal</t>
  </si>
  <si>
    <t>Kolkata</t>
  </si>
  <si>
    <t>Punch</t>
  </si>
  <si>
    <t>Pure</t>
  </si>
  <si>
    <t>Rohit Verma</t>
  </si>
  <si>
    <t>Karnataka</t>
  </si>
  <si>
    <t>Mysuru</t>
  </si>
  <si>
    <t>Harrier</t>
  </si>
  <si>
    <t>Fearless+</t>
  </si>
  <si>
    <t>Rajasthan</t>
  </si>
  <si>
    <t>Jodhpur</t>
  </si>
  <si>
    <t>Nexon EV</t>
  </si>
  <si>
    <t>Fearless</t>
  </si>
  <si>
    <t>Sneha Kapoor</t>
  </si>
  <si>
    <t>Bhubaneswar</t>
  </si>
  <si>
    <t>Creative</t>
  </si>
  <si>
    <t>Prerna Automobiles</t>
  </si>
  <si>
    <t>Empowered</t>
  </si>
  <si>
    <t>Karan Mehta</t>
  </si>
  <si>
    <t>Surat</t>
  </si>
  <si>
    <t>Om Sai Auto Hub</t>
  </si>
  <si>
    <t>Maharashtra</t>
  </si>
  <si>
    <t>Nashik</t>
  </si>
  <si>
    <t>Jaipur</t>
  </si>
  <si>
    <t>Patna</t>
  </si>
  <si>
    <t>XZ+</t>
  </si>
  <si>
    <t>Statesman Cars</t>
  </si>
  <si>
    <t>Yodha 2.0</t>
  </si>
  <si>
    <t>CX</t>
  </si>
  <si>
    <t>XM</t>
  </si>
  <si>
    <t>Panipat</t>
  </si>
  <si>
    <t>Nexon</t>
  </si>
  <si>
    <t>Delhi</t>
  </si>
  <si>
    <t>Dwarka</t>
  </si>
  <si>
    <t>Curvv EV</t>
  </si>
  <si>
    <t>Lucknow</t>
  </si>
  <si>
    <t>Punjab</t>
  </si>
  <si>
    <t>Jalandhar</t>
  </si>
  <si>
    <t>Tigor EV</t>
  </si>
  <si>
    <t>Howrah</t>
  </si>
  <si>
    <t>Hyderabad</t>
  </si>
  <si>
    <t>Creative+</t>
  </si>
  <si>
    <t>Landmark Motors</t>
  </si>
  <si>
    <t>Adventure</t>
  </si>
  <si>
    <t>Kerala</t>
  </si>
  <si>
    <t>Kochi</t>
  </si>
  <si>
    <t>Safari</t>
  </si>
  <si>
    <t>Accomplished+</t>
  </si>
  <si>
    <t>Vikas Yadav</t>
  </si>
  <si>
    <t>Neha Singh</t>
  </si>
  <si>
    <t>Ludhiana</t>
  </si>
  <si>
    <t>Thiruvananthapuram</t>
  </si>
  <si>
    <t>Chennai</t>
  </si>
  <si>
    <t>Tiago</t>
  </si>
  <si>
    <t>New Delhi</t>
  </si>
  <si>
    <t>AC Cabin</t>
  </si>
  <si>
    <t>XT</t>
  </si>
  <si>
    <t>Nagpur</t>
  </si>
  <si>
    <t>Noida</t>
  </si>
  <si>
    <t>Hubli</t>
  </si>
  <si>
    <t>Amritsar</t>
  </si>
  <si>
    <t>Pune</t>
  </si>
  <si>
    <t>Ahmedabad</t>
  </si>
  <si>
    <t>Hisar</t>
  </si>
  <si>
    <t>Bengaluru</t>
  </si>
  <si>
    <t>Agra</t>
  </si>
  <si>
    <t>Target(20,00,000)</t>
  </si>
  <si>
    <t>Row Labels</t>
  </si>
  <si>
    <t>Grand Total</t>
  </si>
  <si>
    <t>Sum of Net Sales Value</t>
  </si>
  <si>
    <t>Sum of Gross Sales Value</t>
  </si>
  <si>
    <t>Sum of Units Sold</t>
  </si>
  <si>
    <t>Sum of Return Units</t>
  </si>
  <si>
    <t>Sum of Discount %</t>
  </si>
  <si>
    <t>Values</t>
  </si>
  <si>
    <t>2024</t>
  </si>
  <si>
    <t>Qtr2</t>
  </si>
  <si>
    <t>Apr</t>
  </si>
  <si>
    <t>May</t>
  </si>
  <si>
    <t>Jun</t>
  </si>
  <si>
    <t>Qtr3</t>
  </si>
  <si>
    <t>Jul</t>
  </si>
  <si>
    <t>Aug</t>
  </si>
  <si>
    <t>Sep</t>
  </si>
  <si>
    <t>Qtr4</t>
  </si>
  <si>
    <t>Oct</t>
  </si>
  <si>
    <t>Nov</t>
  </si>
  <si>
    <t>Dec</t>
  </si>
  <si>
    <t>2025</t>
  </si>
  <si>
    <t>Qtr1</t>
  </si>
  <si>
    <t>Jan</t>
  </si>
  <si>
    <t>Feb</t>
  </si>
  <si>
    <t>Mar</t>
  </si>
  <si>
    <t>Dashboard</t>
  </si>
  <si>
    <t>Major sales are in east and south sides . Less in west and north</t>
  </si>
  <si>
    <t>In may  sales are very high</t>
  </si>
  <si>
    <t>majorly people buy authorized dealers and online banking</t>
  </si>
  <si>
    <t>NET AND GROSS SALES ARE HIGH IN MAY.BUT LESS IN JAN.</t>
  </si>
  <si>
    <t xml:space="preserve">MAJOR SALES COMES FROM ICE AND EV </t>
  </si>
  <si>
    <t xml:space="preserve">AMIT SHARMA IS THE TOP PERFORMER </t>
  </si>
  <si>
    <t>Key Sales Insights</t>
  </si>
  <si>
    <t>Authorized Dealers and Online channels are major contributors to overall sales.</t>
  </si>
  <si>
    <r>
      <t>East region has the highest sales contribution (~28%)</t>
    </r>
    <r>
      <rPr>
        <sz val="14"/>
        <color theme="4" tint="-0.499984740745262"/>
        <rFont val="Calibri"/>
        <family val="2"/>
        <scheme val="minor"/>
      </rPr>
      <t>, while West has the lowest (~24%).</t>
    </r>
  </si>
  <si>
    <r>
      <t>May recorded the highest sales</t>
    </r>
    <r>
      <rPr>
        <sz val="14"/>
        <color theme="4" tint="-0.499984740745262"/>
        <rFont val="Calibri"/>
        <family val="2"/>
        <scheme val="minor"/>
      </rPr>
      <t>, indicating the strongest monthly performance.</t>
    </r>
  </si>
  <si>
    <r>
      <t>Micro and Mini segments contribute a major share of total sales</t>
    </r>
    <r>
      <rPr>
        <sz val="14"/>
        <color theme="4" tint="-0.499984740745262"/>
        <rFont val="Calibri"/>
        <family val="2"/>
        <scheme val="minor"/>
      </rPr>
      <t>, with Micro appearing to lead.</t>
    </r>
  </si>
  <si>
    <r>
      <t>AMT Sharma is the top-performing salesperson</t>
    </r>
    <r>
      <rPr>
        <sz val="14"/>
        <color theme="4" tint="-0.499984740745262"/>
        <rFont val="Calibri"/>
        <family val="2"/>
        <scheme val="minor"/>
      </rPr>
      <t xml:space="preserve"> based on total sales.</t>
    </r>
  </si>
  <si>
    <r>
      <t>Gross Sales remain consistently higher than Net Sales</t>
    </r>
    <r>
      <rPr>
        <sz val="14"/>
        <color theme="4" tint="-0.499984740745262"/>
        <rFont val="Calibri"/>
        <family val="2"/>
        <scheme val="minor"/>
      </rPr>
      <t>, mainly due to discounts/adjustments.</t>
    </r>
  </si>
  <si>
    <r>
      <t xml:space="preserve">Overall sales are </t>
    </r>
    <r>
      <rPr>
        <b/>
        <sz val="14"/>
        <color theme="4" tint="-0.499984740745262"/>
        <rFont val="Calibri"/>
        <family val="2"/>
        <scheme val="minor"/>
      </rPr>
      <t>fairly distributed across regions</t>
    </r>
    <r>
      <rPr>
        <sz val="14"/>
        <color theme="4" tint="-0.499984740745262"/>
        <rFont val="Calibri"/>
        <family val="2"/>
        <scheme val="minor"/>
      </rPr>
      <t>, with no single region dominating by a very large margin.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</si>
</sst>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0"/>
      <color rgb="FFFFFFFF"/>
      <name val="Arial"/>
    </font>
    <font>
      <sz val="9"/>
      <name val="Arial"/>
    </font>
    <font>
      <b/>
      <sz val="11"/>
      <color theme="1"/>
      <name val="Calibri"/>
      <family val="2"/>
      <scheme val="minor"/>
    </font>
    <font>
      <sz val="20"/>
      <color theme="2" tint="-0.499984740745262"/>
      <name val="Calibri"/>
      <family val="2"/>
      <scheme val="minor"/>
    </font>
    <font>
      <sz val="11"/>
      <color theme="2" tint="-0.499984740745262"/>
      <name val="Calibri"/>
      <family val="2"/>
      <scheme val="minor"/>
    </font>
    <font>
      <b/>
      <sz val="16"/>
      <color theme="2" tint="-0.749992370372631"/>
      <name val="Calibri"/>
      <family val="2"/>
      <scheme val="minor"/>
    </font>
    <font>
      <sz val="22"/>
      <color theme="2" tint="-0.499984740745262"/>
      <name val="Calibri"/>
      <family val="2"/>
      <scheme val="minor"/>
    </font>
    <font>
      <sz val="20"/>
      <color theme="1"/>
      <name val="Calibri"/>
      <family val="2"/>
      <scheme val="minor"/>
    </font>
    <font>
      <sz val="24"/>
      <color theme="1"/>
      <name val="Calibri"/>
      <family val="2"/>
      <scheme val="minor"/>
    </font>
    <font>
      <sz val="22"/>
      <color theme="1"/>
      <name val="Calibri"/>
      <family val="2"/>
      <scheme val="minor"/>
    </font>
    <font>
      <sz val="20"/>
      <color theme="2" tint="-0.89999084444715716"/>
      <name val="Calibri"/>
      <family val="2"/>
      <scheme val="minor"/>
    </font>
    <font>
      <sz val="11"/>
      <color theme="2" tint="-0.89999084444715716"/>
      <name val="Calibri"/>
      <family val="2"/>
      <scheme val="minor"/>
    </font>
    <font>
      <b/>
      <sz val="14"/>
      <color theme="4" tint="-0.499984740745262"/>
      <name val="Calibri"/>
      <family val="2"/>
      <scheme val="minor"/>
    </font>
    <font>
      <sz val="14"/>
      <color theme="4" tint="-0.499984740745262"/>
      <name val="Calibri"/>
      <family val="2"/>
      <scheme val="minor"/>
    </font>
    <font>
      <sz val="11"/>
      <color theme="7"/>
      <name val="Calibri"/>
      <family val="2"/>
      <scheme val="minor"/>
    </font>
    <font>
      <sz val="14"/>
      <color theme="7"/>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2" fillId="0" borderId="1" xfId="0" applyFont="1" applyBorder="1"/>
    <xf numFmtId="4" fontId="2" fillId="0" borderId="1" xfId="0" applyNumberFormat="1" applyFont="1" applyBorder="1"/>
    <xf numFmtId="164" fontId="2" fillId="0" borderId="1" xfId="0" applyNumberFormat="1" applyFont="1" applyBorder="1"/>
    <xf numFmtId="0" fontId="1" fillId="2" borderId="2"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2" fillId="0" borderId="1" xfId="0" applyNumberFormat="1" applyFont="1" applyBorder="1"/>
    <xf numFmtId="14" fontId="0" fillId="0" borderId="0" xfId="0" applyNumberFormat="1" applyAlignment="1">
      <alignment horizontal="left" indent="2"/>
    </xf>
    <xf numFmtId="0" fontId="3" fillId="0" borderId="0" xfId="0" applyFont="1"/>
    <xf numFmtId="0" fontId="0" fillId="0" borderId="0" xfId="0" applyAlignment="1"/>
    <xf numFmtId="0" fontId="8" fillId="0" borderId="0" xfId="0" applyFont="1" applyAlignment="1">
      <alignment horizontal="center"/>
    </xf>
    <xf numFmtId="0" fontId="0" fillId="0" borderId="0" xfId="0" applyAlignment="1">
      <alignment horizontal="center"/>
    </xf>
    <xf numFmtId="0" fontId="9" fillId="0" borderId="0" xfId="0" applyFont="1" applyAlignment="1">
      <alignment horizontal="center" wrapText="1"/>
    </xf>
    <xf numFmtId="0" fontId="10" fillId="0" borderId="0" xfId="0" applyFont="1" applyAlignment="1">
      <alignment horizontal="center" wrapText="1"/>
    </xf>
    <xf numFmtId="0" fontId="4" fillId="3" borderId="0" xfId="0" applyFont="1" applyFill="1" applyAlignment="1">
      <alignment horizontal="center"/>
    </xf>
    <xf numFmtId="0" fontId="5" fillId="3" borderId="0" xfId="0"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0" fontId="11" fillId="4" borderId="0" xfId="0" applyFont="1" applyFill="1" applyAlignment="1">
      <alignment horizontal="center" vertical="center"/>
    </xf>
    <xf numFmtId="0" fontId="12" fillId="4" borderId="0" xfId="0" applyFont="1" applyFill="1" applyAlignment="1">
      <alignment horizontal="center" vertical="center"/>
    </xf>
    <xf numFmtId="0" fontId="13" fillId="0" borderId="0" xfId="0" applyFont="1"/>
    <xf numFmtId="0" fontId="14" fillId="0" borderId="0" xfId="0" applyFont="1"/>
    <xf numFmtId="0" fontId="15" fillId="5" borderId="0" xfId="0" applyFont="1" applyFill="1"/>
    <xf numFmtId="0" fontId="16"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Motors Sales Analysis &amp; MIS Dashboard .xlsx]REGION WISE SALE!PivotTable1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t>
            </a:r>
            <a:r>
              <a:rPr lang="en-US" baseline="0"/>
              <a:t> WISE TOTAL Sales</a:t>
            </a:r>
            <a:endParaRPr lang="en-US"/>
          </a:p>
        </c:rich>
      </c:tx>
      <c:layout>
        <c:manualLayout>
          <c:xMode val="edge"/>
          <c:yMode val="edge"/>
          <c:x val="0.2367985564304462"/>
          <c:y val="8.694225721784776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7324999999999999"/>
                  <c:h val="0.15467592592592591"/>
                </c:manualLayout>
              </c15:layout>
            </c:ext>
          </c:extLst>
        </c:dLbl>
      </c:pivotFmt>
      <c:pivotFmt>
        <c:idx val="2"/>
        <c:spPr>
          <a:solidFill>
            <a:schemeClr val="accent1">
              <a:lumMod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layout>
            <c:manualLayout>
              <c:x val="-2.2222222222222247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7324999999999999"/>
                  <c:h val="0.15467592592592591"/>
                </c:manualLayout>
              </c15:layout>
            </c:ext>
          </c:extLst>
        </c:dLbl>
      </c:pivotFmt>
      <c:pivotFmt>
        <c:idx val="7"/>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layout>
            <c:manualLayout>
              <c:x val="-2.2222222222222247E-2"/>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layout>
            <c:manualLayout>
              <c:x val="3.4714382633405732E-3"/>
              <c:y val="3.416288549522423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4999999999999"/>
                  <c:h val="0.15467592592592591"/>
                </c:manualLayout>
              </c15:layout>
            </c:ext>
          </c:extLst>
        </c:dLbl>
      </c:pivotFmt>
      <c:pivotFmt>
        <c:idx val="1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dLbl>
          <c:idx val="0"/>
          <c:layout>
            <c:manualLayout>
              <c:x val="-1.7357191316702898E-2"/>
              <c:y val="6.9166663338437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 WISE SALE'!$B$3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C27-4636-BA4C-663B6C206090}"/>
              </c:ext>
            </c:extLst>
          </c:dPt>
          <c:dPt>
            <c:idx val="1"/>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C27-4636-BA4C-663B6C206090}"/>
              </c:ext>
            </c:extLst>
          </c:dPt>
          <c:dPt>
            <c:idx val="2"/>
            <c:bubble3D val="0"/>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C27-4636-BA4C-663B6C206090}"/>
              </c:ext>
            </c:extLst>
          </c:dPt>
          <c:dPt>
            <c:idx val="3"/>
            <c:bubble3D val="0"/>
            <c:spPr>
              <a:solidFill>
                <a:schemeClr val="accent1">
                  <a:lumMod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C27-4636-BA4C-663B6C206090}"/>
              </c:ext>
            </c:extLst>
          </c:dPt>
          <c:dLbls>
            <c:dLbl>
              <c:idx val="0"/>
              <c:layout>
                <c:manualLayout>
                  <c:x val="3.4714382633405732E-3"/>
                  <c:y val="3.416288549522423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4999999999999"/>
                      <c:h val="0.15467592592592591"/>
                    </c:manualLayout>
                  </c15:layout>
                </c:ext>
                <c:ext xmlns:c16="http://schemas.microsoft.com/office/drawing/2014/chart" uri="{C3380CC4-5D6E-409C-BE32-E72D297353CC}">
                  <c16:uniqueId val="{00000001-DC27-4636-BA4C-663B6C20609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27-4636-BA4C-663B6C20609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27-4636-BA4C-663B6C206090}"/>
                </c:ext>
              </c:extLst>
            </c:dLbl>
            <c:dLbl>
              <c:idx val="3"/>
              <c:layout>
                <c:manualLayout>
                  <c:x val="-1.7357191316702898E-2"/>
                  <c:y val="6.9166663338437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C27-4636-BA4C-663B6C206090}"/>
                </c:ext>
              </c:extLst>
            </c:dLbl>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 SALE'!$A$4:$A$7</c:f>
              <c:strCache>
                <c:ptCount val="4"/>
                <c:pt idx="0">
                  <c:v>East</c:v>
                </c:pt>
                <c:pt idx="1">
                  <c:v>North</c:v>
                </c:pt>
                <c:pt idx="2">
                  <c:v>South</c:v>
                </c:pt>
                <c:pt idx="3">
                  <c:v>West</c:v>
                </c:pt>
              </c:strCache>
            </c:strRef>
          </c:cat>
          <c:val>
            <c:numRef>
              <c:f>'REGION WISE SALE'!$B$4:$B$7</c:f>
              <c:numCache>
                <c:formatCode>General</c:formatCode>
                <c:ptCount val="4"/>
                <c:pt idx="0">
                  <c:v>411291160.43999988</c:v>
                </c:pt>
                <c:pt idx="1">
                  <c:v>311983681.27999997</c:v>
                </c:pt>
                <c:pt idx="2">
                  <c:v>401905266.06999993</c:v>
                </c:pt>
                <c:pt idx="3">
                  <c:v>376086409.42999995</c:v>
                </c:pt>
              </c:numCache>
            </c:numRef>
          </c:val>
          <c:extLst>
            <c:ext xmlns:c16="http://schemas.microsoft.com/office/drawing/2014/chart" uri="{C3380CC4-5D6E-409C-BE32-E72D297353CC}">
              <c16:uniqueId val="{00000008-DC27-4636-BA4C-663B6C206090}"/>
            </c:ext>
          </c:extLst>
        </c:ser>
        <c:dLbls>
          <c:dLblPos val="outEnd"/>
          <c:showLegendKey val="0"/>
          <c:showVal val="0"/>
          <c:showCatName val="1"/>
          <c:showSerName val="0"/>
          <c:showPercent val="0"/>
          <c:showBubbleSize val="0"/>
          <c:showLeaderLines val="1"/>
        </c:dLbls>
        <c:firstSliceAng val="1"/>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2024 Qtr2 Apr</c:v>
              </c:pt>
              <c:pt idx="1">
                <c:v>2024 Qtr2 May</c:v>
              </c:pt>
              <c:pt idx="2">
                <c:v>2024 Qtr2 Jun</c:v>
              </c:pt>
              <c:pt idx="3">
                <c:v>2024 Qtr3 Jul</c:v>
              </c:pt>
              <c:pt idx="4">
                <c:v>2024 Qtr3 Aug</c:v>
              </c:pt>
              <c:pt idx="5">
                <c:v>2024 Qtr3 Sep</c:v>
              </c:pt>
              <c:pt idx="6">
                <c:v>2024 Qtr4 Oct</c:v>
              </c:pt>
              <c:pt idx="7">
                <c:v>2024 Qtr4 Nov</c:v>
              </c:pt>
              <c:pt idx="8">
                <c:v>2024 Qtr4 Dec</c:v>
              </c:pt>
              <c:pt idx="9">
                <c:v>2025 Qtr1 Jan</c:v>
              </c:pt>
              <c:pt idx="10">
                <c:v>2025 Qtr1 Feb</c:v>
              </c:pt>
              <c:pt idx="11">
                <c:v>2025 Qtr1 Mar</c:v>
              </c:pt>
            </c:strLit>
          </c:cat>
          <c:val>
            <c:numLit>
              <c:formatCode>General</c:formatCode>
              <c:ptCount val="12"/>
              <c:pt idx="0">
                <c:v>85218230.670000002</c:v>
              </c:pt>
              <c:pt idx="1">
                <c:v>148240735.19999999</c:v>
              </c:pt>
              <c:pt idx="2">
                <c:v>105112978.74999999</c:v>
              </c:pt>
              <c:pt idx="3">
                <c:v>127397207.91000001</c:v>
              </c:pt>
              <c:pt idx="4">
                <c:v>123389817.00000004</c:v>
              </c:pt>
              <c:pt idx="5">
                <c:v>130205847.30999999</c:v>
              </c:pt>
              <c:pt idx="6">
                <c:v>132570208.72000001</c:v>
              </c:pt>
              <c:pt idx="7">
                <c:v>129559502.27999997</c:v>
              </c:pt>
              <c:pt idx="8">
                <c:v>122656641.33999997</c:v>
              </c:pt>
              <c:pt idx="9">
                <c:v>132992695.66000001</c:v>
              </c:pt>
              <c:pt idx="10">
                <c:v>133047723.03</c:v>
              </c:pt>
              <c:pt idx="11">
                <c:v>130874929.35000001</c:v>
              </c:pt>
            </c:numLit>
          </c:val>
          <c:extLst>
            <c:ext xmlns:c16="http://schemas.microsoft.com/office/drawing/2014/chart" uri="{C3380CC4-5D6E-409C-BE32-E72D297353CC}">
              <c16:uniqueId val="{00000000-7FCA-4F50-A2C1-60607DB68554}"/>
            </c:ext>
          </c:extLst>
        </c:ser>
        <c:dLbls>
          <c:showLegendKey val="0"/>
          <c:showVal val="0"/>
          <c:showCatName val="0"/>
          <c:showSerName val="0"/>
          <c:showPercent val="0"/>
          <c:showBubbleSize val="0"/>
        </c:dLbls>
        <c:gapWidth val="219"/>
        <c:overlap val="-27"/>
        <c:axId val="1792602207"/>
        <c:axId val="1792601375"/>
      </c:barChart>
      <c:catAx>
        <c:axId val="179260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01375"/>
        <c:crosses val="autoZero"/>
        <c:auto val="1"/>
        <c:lblAlgn val="ctr"/>
        <c:lblOffset val="100"/>
        <c:noMultiLvlLbl val="0"/>
      </c:catAx>
      <c:valAx>
        <c:axId val="179260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0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Motors Sales Analysis &amp; MIS Dashboard .xlsx]CHANNEL WISE SALES!PivotTable9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CHANNEL WISE SALES</a:t>
            </a:r>
          </a:p>
        </c:rich>
      </c:tx>
      <c:layout>
        <c:manualLayout>
          <c:xMode val="edge"/>
          <c:yMode val="edge"/>
          <c:x val="0.3720693350831146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 WISE SALES'!$B$3</c:f>
              <c:strCache>
                <c:ptCount val="1"/>
                <c:pt idx="0">
                  <c:v>Total</c:v>
                </c:pt>
              </c:strCache>
            </c:strRef>
          </c:tx>
          <c:spPr>
            <a:solidFill>
              <a:schemeClr val="accent1"/>
            </a:solidFill>
            <a:ln>
              <a:noFill/>
            </a:ln>
            <a:effectLst/>
          </c:spPr>
          <c:invertIfNegative val="0"/>
          <c:cat>
            <c:strRef>
              <c:f>'CHANNEL WISE SALES'!$A$4:$A$9</c:f>
              <c:strCache>
                <c:ptCount val="5"/>
                <c:pt idx="0">
                  <c:v>Authorized Dealer</c:v>
                </c:pt>
                <c:pt idx="1">
                  <c:v>Company Showroom</c:v>
                </c:pt>
                <c:pt idx="2">
                  <c:v>Corporate/Fleet Sale</c:v>
                </c:pt>
                <c:pt idx="3">
                  <c:v>Exchange Program</c:v>
                </c:pt>
                <c:pt idx="4">
                  <c:v>Online Booking</c:v>
                </c:pt>
              </c:strCache>
            </c:strRef>
          </c:cat>
          <c:val>
            <c:numRef>
              <c:f>'CHANNEL WISE SALES'!$B$4:$B$9</c:f>
              <c:numCache>
                <c:formatCode>General</c:formatCode>
                <c:ptCount val="5"/>
                <c:pt idx="0">
                  <c:v>342055826.01999986</c:v>
                </c:pt>
                <c:pt idx="1">
                  <c:v>263418603.00999993</c:v>
                </c:pt>
                <c:pt idx="2">
                  <c:v>264198974.1800001</c:v>
                </c:pt>
                <c:pt idx="3">
                  <c:v>296624511.13999999</c:v>
                </c:pt>
                <c:pt idx="4">
                  <c:v>334968602.87</c:v>
                </c:pt>
              </c:numCache>
            </c:numRef>
          </c:val>
          <c:extLst>
            <c:ext xmlns:c16="http://schemas.microsoft.com/office/drawing/2014/chart" uri="{C3380CC4-5D6E-409C-BE32-E72D297353CC}">
              <c16:uniqueId val="{00000000-AB72-45CF-87F2-49DF8306D222}"/>
            </c:ext>
          </c:extLst>
        </c:ser>
        <c:dLbls>
          <c:showLegendKey val="0"/>
          <c:showVal val="0"/>
          <c:showCatName val="0"/>
          <c:showSerName val="0"/>
          <c:showPercent val="0"/>
          <c:showBubbleSize val="0"/>
        </c:dLbls>
        <c:gapWidth val="182"/>
        <c:axId val="1851650303"/>
        <c:axId val="1851652799"/>
      </c:barChart>
      <c:catAx>
        <c:axId val="185165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52799"/>
        <c:crosses val="autoZero"/>
        <c:auto val="1"/>
        <c:lblAlgn val="ctr"/>
        <c:lblOffset val="100"/>
        <c:noMultiLvlLbl val="0"/>
      </c:catAx>
      <c:valAx>
        <c:axId val="185165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5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[Tata Motors Sales Analysis &amp; MIS Dashboard .xlsx]Segment-wise Sales!PivotTable10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1">
                    <a:lumMod val="95000"/>
                    <a:lumOff val="5000"/>
                  </a:schemeClr>
                </a:solidFill>
              </a:rPr>
              <a:t>Segment-wise Sales</a:t>
            </a:r>
            <a:endParaRPr lang="en-US" sz="1800">
              <a:solidFill>
                <a:schemeClr val="tx1">
                  <a:lumMod val="95000"/>
                  <a:lumOff val="5000"/>
                </a:schemeClr>
              </a:solidFill>
            </a:endParaRPr>
          </a:p>
        </c:rich>
      </c:tx>
      <c:layout>
        <c:manualLayout>
          <c:xMode val="edge"/>
          <c:yMode val="edge"/>
          <c:x val="0.1167152230971128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hade val="58000"/>
            </a:schemeClr>
          </a:solidFill>
          <a:ln w="19050">
            <a:solidFill>
              <a:schemeClr val="lt1"/>
            </a:solidFill>
          </a:ln>
          <a:effectLst/>
        </c:spPr>
        <c:dLbl>
          <c:idx val="0"/>
          <c:layout>
            <c:manualLayout>
              <c:x val="-9.6998237337993037E-2"/>
              <c:y val="-2.27409737434269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hade val="86000"/>
            </a:schemeClr>
          </a:solidFill>
          <a:ln w="19050">
            <a:solidFill>
              <a:schemeClr val="lt1"/>
            </a:solidFill>
          </a:ln>
          <a:effectLst/>
        </c:spPr>
        <c:dLbl>
          <c:idx val="0"/>
          <c:layout>
            <c:manualLayout>
              <c:x val="5.1963341431067699E-2"/>
              <c:y val="0.109914706426563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'Segment-wise Sales'!$B$3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2AB6-441A-8CAC-90711F4D49DC}"/>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2AB6-441A-8CAC-90711F4D49DC}"/>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2AB6-441A-8CAC-90711F4D49DC}"/>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2AB6-441A-8CAC-90711F4D49DC}"/>
              </c:ext>
            </c:extLst>
          </c:dPt>
          <c:dLbls>
            <c:dLbl>
              <c:idx val="0"/>
              <c:layout>
                <c:manualLayout>
                  <c:x val="-9.6998237337993037E-2"/>
                  <c:y val="-2.27409737434269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B6-441A-8CAC-90711F4D49DC}"/>
                </c:ext>
              </c:extLst>
            </c:dLbl>
            <c:dLbl>
              <c:idx val="1"/>
              <c:layout>
                <c:manualLayout>
                  <c:x val="5.1963341431067699E-2"/>
                  <c:y val="0.109914706426563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B6-441A-8CAC-90711F4D49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'Segment-wise Sales'!$A$4:$A$8</c:f>
              <c:strCache>
                <c:ptCount val="4"/>
                <c:pt idx="0">
                  <c:v>CV - Pickup</c:v>
                </c:pt>
                <c:pt idx="1">
                  <c:v>CV - SCV</c:v>
                </c:pt>
                <c:pt idx="2">
                  <c:v>PV - EV</c:v>
                </c:pt>
                <c:pt idx="3">
                  <c:v>PV - ICE</c:v>
                </c:pt>
              </c:strCache>
            </c:strRef>
          </c:cat>
          <c:val>
            <c:numRef>
              <c:f>'Segment-wise Sales'!$B$4:$B$8</c:f>
              <c:numCache>
                <c:formatCode>General</c:formatCode>
                <c:ptCount val="4"/>
                <c:pt idx="0">
                  <c:v>240336470.73000005</c:v>
                </c:pt>
                <c:pt idx="1">
                  <c:v>80797809.25999999</c:v>
                </c:pt>
                <c:pt idx="2">
                  <c:v>499251174.15999985</c:v>
                </c:pt>
                <c:pt idx="3">
                  <c:v>680881063.06999993</c:v>
                </c:pt>
              </c:numCache>
            </c:numRef>
          </c:val>
          <c:extLst>
            <c:ext xmlns:c16="http://schemas.microsoft.com/office/drawing/2014/chart" uri="{C3380CC4-5D6E-409C-BE32-E72D297353CC}">
              <c16:uniqueId val="{00000008-2AB6-441A-8CAC-90711F4D49D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417850185185888"/>
          <c:y val="3.9391126842108395E-2"/>
          <c:w val="0.20157193881364283"/>
          <c:h val="0.310907012695551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[Tata Motors Sales Analysis &amp; MIS Dashboard .xlsx]Top 5 Salespersons!PivotTable11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dk1"/>
                </a:solidFill>
                <a:latin typeface="+mn-lt"/>
                <a:ea typeface="+mn-ea"/>
                <a:cs typeface="+mn-cs"/>
              </a:rPr>
              <a:t>Top 5 Salespersons</a:t>
            </a:r>
            <a:endParaRPr lang="en-US"/>
          </a:p>
        </c:rich>
      </c:tx>
      <c:overlay val="0"/>
      <c:spPr>
        <a:solidFill>
          <a:schemeClr val="lt1"/>
        </a:solidFill>
        <a:ln w="25400" cap="flat" cmpd="sng" algn="ctr">
          <a:solidFill>
            <a:schemeClr val="accent3"/>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Salespersons'!$B$3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Salespersons'!$A$4:$A$14</c:f>
              <c:strCache>
                <c:ptCount val="10"/>
                <c:pt idx="0">
                  <c:v>Amit Sharma</c:v>
                </c:pt>
                <c:pt idx="1">
                  <c:v>Anjali Rao</c:v>
                </c:pt>
                <c:pt idx="2">
                  <c:v>Divya Pillai</c:v>
                </c:pt>
                <c:pt idx="3">
                  <c:v>Karan Mehta</c:v>
                </c:pt>
                <c:pt idx="4">
                  <c:v>Neha Singh</c:v>
                </c:pt>
                <c:pt idx="5">
                  <c:v>Priya Nair</c:v>
                </c:pt>
                <c:pt idx="6">
                  <c:v>Rohit Verma</c:v>
                </c:pt>
                <c:pt idx="7">
                  <c:v>Sneha Kapoor</c:v>
                </c:pt>
                <c:pt idx="8">
                  <c:v>Suresh Kumar</c:v>
                </c:pt>
                <c:pt idx="9">
                  <c:v>Vikas Yadav</c:v>
                </c:pt>
              </c:strCache>
            </c:strRef>
          </c:cat>
          <c:val>
            <c:numRef>
              <c:f>'Top 5 Salespersons'!$B$4:$B$14</c:f>
              <c:numCache>
                <c:formatCode>General</c:formatCode>
                <c:ptCount val="10"/>
                <c:pt idx="0">
                  <c:v>181798938.95000002</c:v>
                </c:pt>
                <c:pt idx="1">
                  <c:v>128336257.41999999</c:v>
                </c:pt>
                <c:pt idx="2">
                  <c:v>161812814.33000004</c:v>
                </c:pt>
                <c:pt idx="3">
                  <c:v>157874123.65000007</c:v>
                </c:pt>
                <c:pt idx="4">
                  <c:v>161000964.01999995</c:v>
                </c:pt>
                <c:pt idx="5">
                  <c:v>158680365.11000001</c:v>
                </c:pt>
                <c:pt idx="6">
                  <c:v>145799435.14999998</c:v>
                </c:pt>
                <c:pt idx="7">
                  <c:v>142447984.49999997</c:v>
                </c:pt>
                <c:pt idx="8">
                  <c:v>137916191.44000003</c:v>
                </c:pt>
                <c:pt idx="9">
                  <c:v>125599442.64999998</c:v>
                </c:pt>
              </c:numCache>
            </c:numRef>
          </c:val>
          <c:extLst>
            <c:ext xmlns:c16="http://schemas.microsoft.com/office/drawing/2014/chart" uri="{C3380CC4-5D6E-409C-BE32-E72D297353CC}">
              <c16:uniqueId val="{00000000-DF7A-4AF2-97BF-0A996513B192}"/>
            </c:ext>
          </c:extLst>
        </c:ser>
        <c:dLbls>
          <c:dLblPos val="outEnd"/>
          <c:showLegendKey val="0"/>
          <c:showVal val="1"/>
          <c:showCatName val="0"/>
          <c:showSerName val="0"/>
          <c:showPercent val="0"/>
          <c:showBubbleSize val="0"/>
        </c:dLbls>
        <c:gapWidth val="182"/>
        <c:axId val="1792603455"/>
        <c:axId val="1792607199"/>
      </c:barChart>
      <c:catAx>
        <c:axId val="179260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07199"/>
        <c:crosses val="autoZero"/>
        <c:auto val="1"/>
        <c:lblAlgn val="ctr"/>
        <c:lblOffset val="100"/>
        <c:noMultiLvlLbl val="0"/>
      </c:catAx>
      <c:valAx>
        <c:axId val="179260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0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Motors Sales Analysis &amp; MIS Dashboard .xlsx]Gross vs Net Sales Month-wise!PivotTable12</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solidFill>
                  <a:schemeClr val="dk1"/>
                </a:solidFill>
                <a:latin typeface="+mn-lt"/>
                <a:ea typeface="+mn-ea"/>
                <a:cs typeface="+mn-cs"/>
              </a:rPr>
              <a:t>Gross vs Net Sales Month-wise</a:t>
            </a:r>
            <a:endParaRPr lang="en-IN"/>
          </a:p>
        </c:rich>
      </c:tx>
      <c:layout>
        <c:manualLayout>
          <c:xMode val="edge"/>
          <c:yMode val="edge"/>
          <c:x val="0.12972123948402706"/>
          <c:y val="2.2333936266268804E-2"/>
        </c:manualLayout>
      </c:layout>
      <c:overlay val="0"/>
      <c:spPr>
        <a:solidFill>
          <a:schemeClr val="lt1"/>
        </a:solidFill>
        <a:ln w="25400" cap="flat" cmpd="sng" algn="ctr">
          <a:solidFill>
            <a:schemeClr val="accent5"/>
          </a:solidFill>
          <a:prstDash val="solid"/>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18388373094"/>
          <c:y val="0.20778095919828207"/>
          <c:w val="0.5921520679480281"/>
          <c:h val="0.5908681971982418"/>
        </c:manualLayout>
      </c:layout>
      <c:barChart>
        <c:barDir val="col"/>
        <c:grouping val="clustered"/>
        <c:varyColors val="0"/>
        <c:ser>
          <c:idx val="0"/>
          <c:order val="0"/>
          <c:tx>
            <c:strRef>
              <c:f>'Gross vs Net Sales Month-wise'!$B$3</c:f>
              <c:strCache>
                <c:ptCount val="1"/>
                <c:pt idx="0">
                  <c:v>Sum of Gross Sales 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'Gross vs Net Sales Month-wise'!$A$4:$A$22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2024</c:v>
                  </c:pt>
                  <c:pt idx="9">
                    <c:v>2025</c:v>
                  </c:pt>
                </c:lvl>
              </c:multiLvlStrCache>
            </c:multiLvlStrRef>
          </c:cat>
          <c:val>
            <c:numRef>
              <c:f>'Gross vs Net Sales Month-wise'!$B$4:$B$22</c:f>
              <c:numCache>
                <c:formatCode>General</c:formatCode>
                <c:ptCount val="12"/>
                <c:pt idx="0">
                  <c:v>89565286.920000032</c:v>
                </c:pt>
                <c:pt idx="1">
                  <c:v>156678258.47</c:v>
                </c:pt>
                <c:pt idx="2">
                  <c:v>110012535.88000001</c:v>
                </c:pt>
                <c:pt idx="3">
                  <c:v>132263296.20999999</c:v>
                </c:pt>
                <c:pt idx="4">
                  <c:v>129361147.52000001</c:v>
                </c:pt>
                <c:pt idx="5">
                  <c:v>136252048.46000001</c:v>
                </c:pt>
                <c:pt idx="6">
                  <c:v>138538095.85000005</c:v>
                </c:pt>
                <c:pt idx="7">
                  <c:v>135384236.64000002</c:v>
                </c:pt>
                <c:pt idx="8">
                  <c:v>127220951.84000002</c:v>
                </c:pt>
                <c:pt idx="9">
                  <c:v>139613680.38999993</c:v>
                </c:pt>
                <c:pt idx="10">
                  <c:v>138504930.91999999</c:v>
                </c:pt>
                <c:pt idx="11">
                  <c:v>135836880.57000002</c:v>
                </c:pt>
              </c:numCache>
            </c:numRef>
          </c:val>
          <c:extLst>
            <c:ext xmlns:c16="http://schemas.microsoft.com/office/drawing/2014/chart" uri="{C3380CC4-5D6E-409C-BE32-E72D297353CC}">
              <c16:uniqueId val="{00000000-8B03-485A-A7BB-2ECFAB0FE5D4}"/>
            </c:ext>
          </c:extLst>
        </c:ser>
        <c:dLbls>
          <c:showLegendKey val="0"/>
          <c:showVal val="0"/>
          <c:showCatName val="0"/>
          <c:showSerName val="0"/>
          <c:showPercent val="0"/>
          <c:showBubbleSize val="0"/>
        </c:dLbls>
        <c:gapWidth val="150"/>
        <c:axId val="1352745375"/>
        <c:axId val="1352743295"/>
      </c:barChart>
      <c:lineChart>
        <c:grouping val="standard"/>
        <c:varyColors val="0"/>
        <c:ser>
          <c:idx val="1"/>
          <c:order val="1"/>
          <c:tx>
            <c:strRef>
              <c:f>'Gross vs Net Sales Month-wise'!$C$3</c:f>
              <c:strCache>
                <c:ptCount val="1"/>
                <c:pt idx="0">
                  <c:v>Sum of Net Sales Value</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cat>
            <c:multiLvlStrRef>
              <c:f>'Gross vs Net Sales Month-wise'!$A$4:$A$22</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Qtr2</c:v>
                  </c:pt>
                  <c:pt idx="3">
                    <c:v>Qtr3</c:v>
                  </c:pt>
                  <c:pt idx="6">
                    <c:v>Qtr4</c:v>
                  </c:pt>
                  <c:pt idx="9">
                    <c:v>Qtr1</c:v>
                  </c:pt>
                </c:lvl>
                <c:lvl>
                  <c:pt idx="0">
                    <c:v>2024</c:v>
                  </c:pt>
                  <c:pt idx="9">
                    <c:v>2025</c:v>
                  </c:pt>
                </c:lvl>
              </c:multiLvlStrCache>
            </c:multiLvlStrRef>
          </c:cat>
          <c:val>
            <c:numRef>
              <c:f>'Gross vs Net Sales Month-wise'!$C$4:$C$22</c:f>
              <c:numCache>
                <c:formatCode>General</c:formatCode>
                <c:ptCount val="12"/>
                <c:pt idx="0">
                  <c:v>85218230.670000002</c:v>
                </c:pt>
                <c:pt idx="1">
                  <c:v>148240735.19999999</c:v>
                </c:pt>
                <c:pt idx="2">
                  <c:v>105112978.74999999</c:v>
                </c:pt>
                <c:pt idx="3">
                  <c:v>127397207.91000001</c:v>
                </c:pt>
                <c:pt idx="4">
                  <c:v>123389817.00000004</c:v>
                </c:pt>
                <c:pt idx="5">
                  <c:v>130205847.30999999</c:v>
                </c:pt>
                <c:pt idx="6">
                  <c:v>132570208.72000001</c:v>
                </c:pt>
                <c:pt idx="7">
                  <c:v>129559502.27999997</c:v>
                </c:pt>
                <c:pt idx="8">
                  <c:v>122656641.33999997</c:v>
                </c:pt>
                <c:pt idx="9">
                  <c:v>132992695.66000001</c:v>
                </c:pt>
                <c:pt idx="10">
                  <c:v>133047723.03</c:v>
                </c:pt>
                <c:pt idx="11">
                  <c:v>130874929.35000001</c:v>
                </c:pt>
              </c:numCache>
            </c:numRef>
          </c:val>
          <c:smooth val="0"/>
          <c:extLst>
            <c:ext xmlns:c16="http://schemas.microsoft.com/office/drawing/2014/chart" uri="{C3380CC4-5D6E-409C-BE32-E72D297353CC}">
              <c16:uniqueId val="{00000001-8B03-485A-A7BB-2ECFAB0FE5D4}"/>
            </c:ext>
          </c:extLst>
        </c:ser>
        <c:dLbls>
          <c:showLegendKey val="0"/>
          <c:showVal val="0"/>
          <c:showCatName val="0"/>
          <c:showSerName val="0"/>
          <c:showPercent val="0"/>
          <c:showBubbleSize val="0"/>
        </c:dLbls>
        <c:marker val="1"/>
        <c:smooth val="0"/>
        <c:axId val="1352745375"/>
        <c:axId val="1352743295"/>
      </c:lineChart>
      <c:catAx>
        <c:axId val="1352745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743295"/>
        <c:crosses val="autoZero"/>
        <c:auto val="1"/>
        <c:lblAlgn val="ctr"/>
        <c:lblOffset val="100"/>
        <c:noMultiLvlLbl val="0"/>
      </c:catAx>
      <c:valAx>
        <c:axId val="13527432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745375"/>
        <c:crosses val="autoZero"/>
        <c:crossBetween val="between"/>
      </c:valAx>
      <c:spPr>
        <a:noFill/>
        <a:ln>
          <a:noFill/>
        </a:ln>
        <a:effectLst/>
      </c:spPr>
    </c:plotArea>
    <c:legend>
      <c:legendPos val="r"/>
      <c:layout>
        <c:manualLayout>
          <c:xMode val="edge"/>
          <c:yMode val="edge"/>
          <c:x val="0.69778489442551028"/>
          <c:y val="7.0336170099949621E-2"/>
          <c:w val="0.30221510557448977"/>
          <c:h val="0.11363715899148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636566</xdr:colOff>
      <xdr:row>6</xdr:row>
      <xdr:rowOff>122676</xdr:rowOff>
    </xdr:from>
    <xdr:to>
      <xdr:col>9</xdr:col>
      <xdr:colOff>595745</xdr:colOff>
      <xdr:row>39</xdr:row>
      <xdr:rowOff>96981</xdr:rowOff>
    </xdr:to>
    <xdr:graphicFrame macro="">
      <xdr:nvGraphicFramePr>
        <xdr:cNvPr id="3" name="Chart 2">
          <a:extLst>
            <a:ext uri="{FF2B5EF4-FFF2-40B4-BE49-F238E27FC236}">
              <a16:creationId xmlns:a16="http://schemas.microsoft.com/office/drawing/2014/main" id="{7267C914-4709-46C4-878D-DB32D3627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140598</xdr:colOff>
      <xdr:row>1</xdr:row>
      <xdr:rowOff>59871</xdr:rowOff>
    </xdr:from>
    <xdr:to>
      <xdr:col>19</xdr:col>
      <xdr:colOff>592154</xdr:colOff>
      <xdr:row>38</xdr:row>
      <xdr:rowOff>141112</xdr:rowOff>
    </xdr:to>
    <xdr:graphicFrame macro="">
      <xdr:nvGraphicFramePr>
        <xdr:cNvPr id="7" name="Chart 6">
          <a:extLst>
            <a:ext uri="{FF2B5EF4-FFF2-40B4-BE49-F238E27FC236}">
              <a16:creationId xmlns:a16="http://schemas.microsoft.com/office/drawing/2014/main" id="{3742E132-9375-4CEF-9F55-F3A2EA133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197556</xdr:colOff>
      <xdr:row>1</xdr:row>
      <xdr:rowOff>140426</xdr:rowOff>
    </xdr:from>
    <xdr:to>
      <xdr:col>29</xdr:col>
      <xdr:colOff>235527</xdr:colOff>
      <xdr:row>37</xdr:row>
      <xdr:rowOff>96983</xdr:rowOff>
    </xdr:to>
    <xdr:graphicFrame macro="">
      <xdr:nvGraphicFramePr>
        <xdr:cNvPr id="8" name="Chart 7">
          <a:extLst>
            <a:ext uri="{FF2B5EF4-FFF2-40B4-BE49-F238E27FC236}">
              <a16:creationId xmlns:a16="http://schemas.microsoft.com/office/drawing/2014/main" id="{0D4F911C-ECC1-4F3A-95A1-5F21E3F54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141111</xdr:colOff>
      <xdr:row>48</xdr:row>
      <xdr:rowOff>28222</xdr:rowOff>
    </xdr:from>
    <xdr:to>
      <xdr:col>9</xdr:col>
      <xdr:colOff>457200</xdr:colOff>
      <xdr:row>83</xdr:row>
      <xdr:rowOff>124691</xdr:rowOff>
    </xdr:to>
    <xdr:graphicFrame macro="">
      <xdr:nvGraphicFramePr>
        <xdr:cNvPr id="9" name="Chart 8">
          <a:extLst>
            <a:ext uri="{FF2B5EF4-FFF2-40B4-BE49-F238E27FC236}">
              <a16:creationId xmlns:a16="http://schemas.microsoft.com/office/drawing/2014/main" id="{EACC6C8C-ABAC-4EB2-8D6D-82D915AFA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1026</xdr:colOff>
      <xdr:row>47</xdr:row>
      <xdr:rowOff>83127</xdr:rowOff>
    </xdr:from>
    <xdr:to>
      <xdr:col>19</xdr:col>
      <xdr:colOff>198581</xdr:colOff>
      <xdr:row>87</xdr:row>
      <xdr:rowOff>15908</xdr:rowOff>
    </xdr:to>
    <xdr:graphicFrame macro="">
      <xdr:nvGraphicFramePr>
        <xdr:cNvPr id="11" name="Chart 10">
          <a:extLst>
            <a:ext uri="{FF2B5EF4-FFF2-40B4-BE49-F238E27FC236}">
              <a16:creationId xmlns:a16="http://schemas.microsoft.com/office/drawing/2014/main" id="{40CD623F-0A88-4401-B9CD-566A6C97D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600406</xdr:colOff>
      <xdr:row>3</xdr:row>
      <xdr:rowOff>28222</xdr:rowOff>
    </xdr:from>
    <xdr:to>
      <xdr:col>38</xdr:col>
      <xdr:colOff>423332</xdr:colOff>
      <xdr:row>42</xdr:row>
      <xdr:rowOff>84667</xdr:rowOff>
    </xdr:to>
    <xdr:graphicFrame macro="">
      <xdr:nvGraphicFramePr>
        <xdr:cNvPr id="12" name="Chart 11">
          <a:extLst>
            <a:ext uri="{FF2B5EF4-FFF2-40B4-BE49-F238E27FC236}">
              <a16:creationId xmlns:a16="http://schemas.microsoft.com/office/drawing/2014/main" id="{EEB18465-F0D6-4811-BBE4-50C72508B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342900</xdr:colOff>
      <xdr:row>78</xdr:row>
      <xdr:rowOff>139700</xdr:rowOff>
    </xdr:from>
    <xdr:to>
      <xdr:col>29</xdr:col>
      <xdr:colOff>571500</xdr:colOff>
      <xdr:row>87</xdr:row>
      <xdr:rowOff>165100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E0AFE14E-4EFD-45D2-86B4-449E05BE9B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50245" y="14271336"/>
              <a:ext cx="1503219" cy="1646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522862</xdr:colOff>
      <xdr:row>48</xdr:row>
      <xdr:rowOff>100628</xdr:rowOff>
    </xdr:from>
    <xdr:to>
      <xdr:col>24</xdr:col>
      <xdr:colOff>290946</xdr:colOff>
      <xdr:row>64</xdr:row>
      <xdr:rowOff>46399</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82D6E6A0-7935-4FCB-A5FA-BDB827277D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269044" y="8828992"/>
              <a:ext cx="2317320" cy="2827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75556</xdr:colOff>
      <xdr:row>79</xdr:row>
      <xdr:rowOff>12700</xdr:rowOff>
    </xdr:from>
    <xdr:to>
      <xdr:col>27</xdr:col>
      <xdr:colOff>254000</xdr:colOff>
      <xdr:row>90</xdr:row>
      <xdr:rowOff>25400</xdr:rowOff>
    </xdr:to>
    <mc:AlternateContent xmlns:mc="http://schemas.openxmlformats.org/markup-compatibility/2006" xmlns:a14="http://schemas.microsoft.com/office/drawing/2010/main">
      <mc:Choice Requires="a14">
        <xdr:graphicFrame macro="">
          <xdr:nvGraphicFramePr>
            <xdr:cNvPr id="15" name="Sales Channel">
              <a:extLst>
                <a:ext uri="{FF2B5EF4-FFF2-40B4-BE49-F238E27FC236}">
                  <a16:creationId xmlns:a16="http://schemas.microsoft.com/office/drawing/2014/main" id="{52F5DD40-F3EB-4AB5-A325-4FB6AC1481F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5370974" y="14324445"/>
              <a:ext cx="2090371"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78</xdr:row>
      <xdr:rowOff>152401</xdr:rowOff>
    </xdr:from>
    <xdr:to>
      <xdr:col>23</xdr:col>
      <xdr:colOff>533399</xdr:colOff>
      <xdr:row>88</xdr:row>
      <xdr:rowOff>1</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DAD48735-3A01-4302-8197-269DB163B24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27182" y="14284037"/>
              <a:ext cx="2064326" cy="1648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483581</xdr:colOff>
      <xdr:row>49</xdr:row>
      <xdr:rowOff>26797</xdr:rowOff>
    </xdr:from>
    <xdr:to>
      <xdr:col>29</xdr:col>
      <xdr:colOff>457199</xdr:colOff>
      <xdr:row>64</xdr:row>
      <xdr:rowOff>18514</xdr:rowOff>
    </xdr:to>
    <mc:AlternateContent xmlns:mc="http://schemas.openxmlformats.org/markup-compatibility/2006" xmlns:a14="http://schemas.microsoft.com/office/drawing/2010/main">
      <mc:Choice Requires="a14">
        <xdr:graphicFrame macro="">
          <xdr:nvGraphicFramePr>
            <xdr:cNvPr id="17" name="Model Name">
              <a:extLst>
                <a:ext uri="{FF2B5EF4-FFF2-40B4-BE49-F238E27FC236}">
                  <a16:creationId xmlns:a16="http://schemas.microsoft.com/office/drawing/2014/main" id="{F730A142-B291-4FE6-8752-7DF99EE55ADA}"/>
                </a:ext>
              </a:extLst>
            </xdr:cNvPr>
            <xdr:cNvGraphicFramePr/>
          </xdr:nvGraphicFramePr>
          <xdr:xfrm>
            <a:off x="0" y="0"/>
            <a:ext cx="0" cy="0"/>
          </xdr:xfrm>
          <a:graphic>
            <a:graphicData uri="http://schemas.microsoft.com/office/drawing/2010/slicer">
              <sle:slicer xmlns:sle="http://schemas.microsoft.com/office/drawing/2010/slicer" name="Model Name"/>
            </a:graphicData>
          </a:graphic>
        </xdr:graphicFrame>
      </mc:Choice>
      <mc:Fallback xmlns="">
        <xdr:sp macro="" textlink="">
          <xdr:nvSpPr>
            <xdr:cNvPr id="0" name=""/>
            <xdr:cNvSpPr>
              <a:spLocks noTextEdit="1"/>
            </xdr:cNvSpPr>
          </xdr:nvSpPr>
          <xdr:spPr>
            <a:xfrm>
              <a:off x="16416308" y="8935270"/>
              <a:ext cx="2522855" cy="2693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443345</xdr:colOff>
      <xdr:row>67</xdr:row>
      <xdr:rowOff>55418</xdr:rowOff>
    </xdr:from>
    <xdr:to>
      <xdr:col>29</xdr:col>
      <xdr:colOff>512618</xdr:colOff>
      <xdr:row>76</xdr:row>
      <xdr:rowOff>141064</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BB0A7E45-62E4-4011-9236-2375689C1B7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189527" y="12205854"/>
              <a:ext cx="5805055" cy="17066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6291.629965624998" createdVersion="7" refreshedVersion="7" minRefreshableVersion="3" recordCount="651" xr:uid="{2C1F57EC-2696-4B9E-AA4A-F6A74EDC7DB7}">
  <cacheSource type="worksheet">
    <worksheetSource ref="A1:U1048576" sheet="Tata Motors Sales Data"/>
  </cacheSource>
  <cacheFields count="21">
    <cacheField name="Order ID" numFmtId="0">
      <sharedItems containsString="0" containsBlank="1" containsNumber="1" containsInteger="1" minValue="800001" maxValue="800650"/>
    </cacheField>
    <cacheField name="Order Date" numFmtId="0">
      <sharedItems containsBlank="1"/>
    </cacheField>
    <cacheField name="Region" numFmtId="0">
      <sharedItems containsBlank="1" count="5">
        <s v="East"/>
        <s v="South"/>
        <s v="North"/>
        <s v="West"/>
        <m/>
      </sharedItems>
    </cacheField>
    <cacheField name="State" numFmtId="0">
      <sharedItems containsBlank="1"/>
    </cacheField>
    <cacheField name="City" numFmtId="0">
      <sharedItems containsBlank="1"/>
    </cacheField>
    <cacheField name="Sales Channel" numFmtId="0">
      <sharedItems containsBlank="1"/>
    </cacheField>
    <cacheField name="Dealer" numFmtId="0">
      <sharedItems containsBlank="1"/>
    </cacheField>
    <cacheField name="Company" numFmtId="0">
      <sharedItems containsBlank="1"/>
    </cacheField>
    <cacheField name="Segment" numFmtId="0">
      <sharedItems containsBlank="1"/>
    </cacheField>
    <cacheField name="Model Name" numFmtId="0">
      <sharedItems containsBlank="1" count="16">
        <s v="Tigor"/>
        <s v="Ace Gold"/>
        <s v="Intra V30"/>
        <s v="Curvv"/>
        <s v="Altroz"/>
        <s v="Punch EV"/>
        <s v="Punch"/>
        <s v="Harrier"/>
        <s v="Nexon EV"/>
        <s v="Yodha 2.0"/>
        <s v="Nexon"/>
        <s v="Curvv EV"/>
        <s v="Tigor EV"/>
        <s v="Safari"/>
        <s v="Tiago"/>
        <m/>
      </sharedItems>
    </cacheField>
    <cacheField name="Variant" numFmtId="0">
      <sharedItems containsBlank="1"/>
    </cacheField>
    <cacheField name="Salesperson" numFmtId="0">
      <sharedItems containsBlank="1"/>
    </cacheField>
    <cacheField name="Units Sold" numFmtId="0">
      <sharedItems containsString="0" containsBlank="1" containsNumber="1" containsInteger="1" minValue="1" maxValue="6"/>
    </cacheField>
    <cacheField name="Ex-Showroom Price" numFmtId="0">
      <sharedItems containsString="0" containsBlank="1" containsNumber="1" containsInteger="1" minValue="550000" maxValue="1900000" count="14">
        <n v="750000"/>
        <n v="550000"/>
        <n v="800000"/>
        <n v="1200000"/>
        <n v="700000"/>
        <n v="1700000"/>
        <n v="1500000"/>
        <n v="1000000"/>
        <n v="950000"/>
        <n v="1800000"/>
        <n v="1250000"/>
        <n v="1900000"/>
        <n v="650000"/>
        <m/>
      </sharedItems>
    </cacheField>
    <cacheField name="Unit Price" numFmtId="0">
      <sharedItems containsString="0" containsBlank="1" containsNumber="1" minValue="533667.91" maxValue="1937895.72"/>
    </cacheField>
    <cacheField name="Discount %" numFmtId="0">
      <sharedItems containsString="0" containsBlank="1" containsNumber="1" minValue="0" maxValue="12.5"/>
    </cacheField>
    <cacheField name="Return Units" numFmtId="0">
      <sharedItems containsString="0" containsBlank="1" containsNumber="1" containsInteger="1" minValue="0" maxValue="1"/>
    </cacheField>
    <cacheField name="Gross Sales Value" numFmtId="0">
      <sharedItems containsString="0" containsBlank="1" containsNumber="1" minValue="534770.88" maxValue="6085698.0599999996" count="651">
        <n v="742628.99"/>
        <n v="2178430.4"/>
        <n v="3209353.08"/>
        <n v="2399795.08"/>
        <n v="2188739.04"/>
        <n v="1597059.8"/>
        <n v="2403402.7999999998"/>
        <n v="2409263.54"/>
        <n v="3359751.66"/>
        <n v="2124092.34"/>
        <n v="1711966.3"/>
        <n v="1457829.4"/>
        <n v="1175595.5900000001"/>
        <n v="1679450.59"/>
        <n v="2919421.08"/>
        <n v="5193063.24"/>
        <n v="3250565"/>
        <n v="1169415.44"/>
        <n v="2343281.64"/>
        <n v="1962432.14"/>
        <n v="2445055.89"/>
        <n v="1210746.47"/>
        <n v="2880413.49"/>
        <n v="2416880.13"/>
        <n v="1821167.4"/>
        <n v="6057718.0800000001"/>
        <n v="556108.81000000006"/>
        <n v="1203137.92"/>
        <n v="1729035.67"/>
        <n v="2355613.29"/>
        <n v="738504.1"/>
        <n v="1223802.8700000001"/>
        <n v="2040525.51"/>
        <n v="3651388.68"/>
        <n v="1375966.06"/>
        <n v="703890.51"/>
        <n v="1184170.0900000001"/>
        <n v="1847822.72"/>
        <n v="4546159.59"/>
        <n v="2176631"/>
        <n v="1925011.49"/>
        <n v="693829.41"/>
        <n v="1470389.58"/>
        <n v="4410875.6399999997"/>
        <n v="3713287.02"/>
        <n v="2474960.04"/>
        <n v="1277487.26"/>
        <n v="1758850.15"/>
        <n v="3234195.9"/>
        <n v="1171161.28"/>
        <n v="2875764.3"/>
        <n v="2082786.03"/>
        <n v="1849403.03"/>
        <n v="1408078.02"/>
        <n v="534770.88"/>
        <n v="4457428.8899999997"/>
        <n v="1180712.71"/>
        <n v="1566723.82"/>
        <n v="1457820.54"/>
        <n v="1254941.3799999999"/>
        <n v="989534.13"/>
        <n v="2074382.88"/>
        <n v="737689.32"/>
        <n v="3890651.36"/>
        <n v="2394200.62"/>
        <n v="1614212.94"/>
        <n v="1942827.3"/>
        <n v="649046.56999999995"/>
        <n v="4020169.4"/>
        <n v="3719528.64"/>
        <n v="1876378.72"/>
        <n v="3556931.19"/>
        <n v="1601747.4"/>
        <n v="937973.48"/>
        <n v="1573553.6"/>
        <n v="1198576.73"/>
        <n v="3655606.16"/>
        <n v="4522374.3"/>
        <n v="3547495.38"/>
        <n v="747073.41"/>
        <n v="3866548.28"/>
        <n v="3450069.7"/>
        <n v="1514192.02"/>
        <n v="3365098.32"/>
        <n v="1929554.34"/>
        <n v="4755110.7"/>
        <n v="5427196.1100000003"/>
        <n v="3914137.9"/>
        <n v="2414202.87"/>
        <n v="3613053.72"/>
        <n v="2945175.78"/>
        <n v="5086330.55"/>
        <n v="2793792.85"/>
        <n v="3159385.56"/>
        <n v="3625653.3"/>
        <n v="3608310.56"/>
        <n v="6085698.0599999996"/>
        <n v="4955152.3499999996"/>
        <n v="2424191.52"/>
        <n v="3621984.57"/>
        <n v="655438.86"/>
        <n v="680770.25"/>
        <n v="3251003"/>
        <n v="1472201.7"/>
        <n v="2343400.16"/>
        <n v="5038095.8"/>
        <n v="703260.59"/>
        <n v="3586341.18"/>
        <n v="2239995.2799999998"/>
        <n v="1616453.46"/>
        <n v="1923114.42"/>
        <n v="3377422.9"/>
        <n v="653943.53"/>
        <n v="1555064.26"/>
        <n v="2044261.65"/>
        <n v="4788029.04"/>
        <n v="1479555.62"/>
        <n v="2438465.7000000002"/>
        <n v="2259352.65"/>
        <n v="1292476.32"/>
        <n v="706602.53"/>
        <n v="781553.6"/>
        <n v="2899675.71"/>
        <n v="3230280.9"/>
        <n v="1907210.1"/>
        <n v="1886487.18"/>
        <n v="1923842.64"/>
        <n v="3745379.48"/>
        <n v="4856233.7"/>
        <n v="754591.64"/>
        <n v="5364466.5599999996"/>
        <n v="2368837.58"/>
        <n v="550719.93999999994"/>
        <n v="2778897.09"/>
        <n v="652770.42000000004"/>
        <n v="3518158.8"/>
        <n v="630911.61"/>
        <n v="3385129.4"/>
        <n v="1172166.71"/>
        <n v="1909927.94"/>
        <n v="2838882.87"/>
        <n v="1875138.84"/>
        <n v="2223013.9500000002"/>
        <n v="758385.38"/>
        <n v="5319762.63"/>
        <n v="549177.04"/>
        <n v="3883583.05"/>
        <n v="1876468.41"/>
        <n v="2265633.81"/>
        <n v="2433102.36"/>
        <n v="1630353.76"/>
        <n v="1308460.52"/>
        <n v="3742993.95"/>
        <n v="1398216.76"/>
        <n v="1766699.17"/>
        <n v="3788968.89"/>
        <n v="2699292.1"/>
        <n v="1529640.56"/>
        <n v="5365621.17"/>
        <n v="1923477.68"/>
        <n v="1270638.52"/>
        <n v="731295.94"/>
        <n v="5371420.2300000004"/>
        <n v="2376288.04"/>
        <n v="3989323.05"/>
        <n v="3421147.42"/>
        <n v="555486.31000000006"/>
        <n v="5792707.7400000002"/>
        <n v="2348817.48"/>
        <n v="712149.13"/>
        <n v="737713.06"/>
        <n v="2844127.65"/>
        <n v="3415895.6"/>
        <n v="2073025.14"/>
        <n v="2542881.84"/>
        <n v="4004231.84"/>
        <n v="5090639.25"/>
        <n v="801077.32"/>
        <n v="4369189.5"/>
        <n v="4519715.04"/>
        <n v="1558613.66"/>
        <n v="5155152.72"/>
        <n v="4524315.51"/>
        <n v="1939266.18"/>
        <n v="3583334.25"/>
        <n v="5365468.08"/>
        <n v="3258062.92"/>
        <n v="1567965.82"/>
        <n v="3658952.64"/>
        <n v="3730636.38"/>
        <n v="3633958.08"/>
        <n v="3721921.52"/>
        <n v="1528558.1"/>
        <n v="3258500.44"/>
        <n v="1223992.8899999999"/>
        <n v="753585.99"/>
        <n v="1569647.4"/>
        <n v="2330781.16"/>
        <n v="3597151.83"/>
        <n v="5164454.8499999996"/>
        <n v="2237618.58"/>
        <n v="733094.91"/>
        <n v="997643.24"/>
        <n v="3576626.43"/>
        <n v="2480058.6"/>
        <n v="656274.29"/>
        <n v="803621.73"/>
        <n v="2842251.75"/>
        <n v="2103181.23"/>
        <n v="1933950.84"/>
        <n v="1575502.72"/>
        <n v="3717864.9"/>
        <n v="2495906.46"/>
        <n v="1649301.38"/>
        <n v="5193952.5599999996"/>
        <n v="2127258.7200000002"/>
        <n v="1898451.7"/>
        <n v="791087.93"/>
        <n v="2682100.2999999998"/>
        <n v="1801780.28"/>
        <n v="5000497.47"/>
        <n v="2530850.48"/>
        <n v="3515605.05"/>
        <n v="1524948.98"/>
        <n v="931037.75"/>
        <n v="1575167.62"/>
        <n v="1395259.3"/>
        <n v="986105.59"/>
        <n v="3138881.36"/>
        <n v="1828968.13"/>
        <n v="2283940.83"/>
        <n v="1895211.3"/>
        <n v="2082586.98"/>
        <n v="1967271.2"/>
        <n v="1386839.46"/>
        <n v="1555532.98"/>
        <n v="1747505.35"/>
        <n v="1628497.1"/>
        <n v="3661240.68"/>
        <n v="948588.38"/>
        <n v="4708162.2"/>
        <n v="2367753.69"/>
        <n v="548710.01"/>
        <n v="2396875.84"/>
        <n v="2411590.98"/>
        <n v="5609654.6399999997"/>
        <n v="686929.01"/>
        <n v="2465151.42"/>
        <n v="3808424"/>
        <n v="4965028.1399999997"/>
        <n v="2095181.82"/>
        <n v="1922576.61"/>
        <n v="3509572.14"/>
        <n v="1097496.1599999999"/>
        <n v="2124210.0299999998"/>
        <n v="1252978.27"/>
        <n v="5533646.1900000004"/>
        <n v="2427534.9"/>
        <n v="1086102.3999999999"/>
        <n v="1420792.2"/>
        <n v="4032717.9"/>
        <n v="2485732.66"/>
        <n v="1907430.7"/>
        <n v="5253588.93"/>
        <n v="5343182.88"/>
        <n v="1203148.3600000001"/>
        <n v="1949291.62"/>
        <n v="1219597.4099999999"/>
        <n v="4499127.3"/>
        <n v="1249785.7"/>
        <n v="1486806.88"/>
        <n v="3818290.92"/>
        <n v="4400589.6900000004"/>
        <n v="2230813.84"/>
        <n v="741750"/>
        <n v="3572488.77"/>
        <n v="5422470.54"/>
        <n v="3573656.24"/>
        <n v="953519.9"/>
        <n v="3133336.48"/>
        <n v="1705491.5"/>
        <n v="2370836.9"/>
        <n v="2209940.2200000002"/>
        <n v="6025813.0800000001"/>
        <n v="1962119.76"/>
        <n v="1492103.62"/>
        <n v="3816861.45"/>
        <n v="5062128.96"/>
        <n v="4512027.4800000004"/>
        <n v="1171719.8"/>
        <n v="2409597.9300000002"/>
        <n v="639836.91"/>
        <n v="2340265.2400000002"/>
        <n v="2436145.14"/>
        <n v="782045.23"/>
        <n v="3783664.62"/>
        <n v="1295914.8799999999"/>
        <n v="2854734.51"/>
        <n v="1099318.1599999999"/>
        <n v="2472041.1"/>
        <n v="682039.5"/>
        <n v="3148475.76"/>
        <n v="2339784.2799999998"/>
        <n v="786906.81"/>
        <n v="1379136.2"/>
        <n v="1926070.22"/>
        <n v="807426.4"/>
        <n v="729105.32"/>
        <n v="1367734.82"/>
        <n v="2100533.16"/>
        <n v="1874537.4"/>
        <n v="2416038.92"/>
        <n v="3581710.38"/>
        <n v="922836.98"/>
        <n v="3871007.48"/>
        <n v="754903.63"/>
        <n v="3803420.76"/>
        <n v="3300579.72"/>
        <n v="1460643.29"/>
        <n v="1178088"/>
        <n v="1525428.98"/>
        <n v="786955.73"/>
        <n v="2961198.02"/>
        <n v="1463839.62"/>
        <n v="1098758.3999999999"/>
        <n v="2442199.46"/>
        <n v="1631428.52"/>
        <n v="1515169.86"/>
        <n v="3140717.8"/>
        <n v="2018073.12"/>
        <n v="5778940.7699999996"/>
        <n v="2943265.54"/>
        <n v="2882898.99"/>
        <n v="1651202.63"/>
        <n v="5017348.95"/>
        <n v="3513969.69"/>
        <n v="3776626.14"/>
        <n v="1231204.81"/>
        <n v="2347697.31"/>
        <n v="647096.98"/>
        <n v="3593205.98"/>
        <n v="1322077.54"/>
        <n v="1768265.29"/>
        <n v="3020021.44"/>
        <n v="3310160.4"/>
        <n v="1806275.34"/>
        <n v="1854578.04"/>
        <n v="728993.51"/>
        <n v="794942.83"/>
        <n v="1760968"/>
        <n v="937165.67"/>
        <n v="1601003.73"/>
        <n v="3239117.48"/>
        <n v="2756799.55"/>
        <n v="732728.37"/>
        <n v="776820.48"/>
        <n v="2513687.38"/>
        <n v="549311.46"/>
        <n v="1920552.96"/>
        <n v="687395.28"/>
        <n v="1416204.92"/>
        <n v="538432.42000000004"/>
        <n v="1496727.81"/>
        <n v="1896233.26"/>
        <n v="5449798.4699999997"/>
        <n v="1592038.18"/>
        <n v="3658344.84"/>
        <n v="1702312.04"/>
        <n v="814693.83"/>
        <n v="1386718.22"/>
        <n v="792594.72"/>
        <n v="2272132.41"/>
        <n v="1173170.48"/>
        <n v="1505258.73"/>
        <n v="2810971.65"/>
        <n v="1562027.54"/>
        <n v="2930944.56"/>
        <n v="1421595.3"/>
        <n v="1554335.38"/>
        <n v="749609.02"/>
        <n v="2434369.77"/>
        <n v="1197234.95"/>
        <n v="3793823.46"/>
        <n v="1928539.26"/>
        <n v="1207608.8600000001"/>
        <n v="5240551.5599999996"/>
        <n v="2352988.58"/>
        <n v="784369.18"/>
        <n v="1463770.56"/>
        <n v="5578179.2999999998"/>
        <n v="662100.81000000006"/>
        <n v="3509489.52"/>
        <n v="4452164.5199999996"/>
        <n v="707049.58"/>
        <n v="1289802.3400000001"/>
        <n v="5027615.43"/>
        <n v="1859079.26"/>
        <n v="1220164.8400000001"/>
        <n v="5340232.1399999997"/>
        <n v="4999018.8499999996"/>
        <n v="1173966.33"/>
        <n v="5813687.1600000001"/>
        <n v="1481545.74"/>
        <n v="4371876.72"/>
        <n v="1969543.92"/>
        <n v="5737979.7599999998"/>
        <n v="1240899.6499999999"/>
        <n v="3201840.76"/>
        <n v="3401922.44"/>
        <n v="3992633.72"/>
        <n v="639619.64"/>
        <n v="1941348.96"/>
        <n v="2365389.2000000002"/>
        <n v="3687074.16"/>
        <n v="1206198.27"/>
        <n v="1187331.43"/>
        <n v="3449174.2"/>
        <n v="1522200.12"/>
        <n v="1966029.16"/>
        <n v="777434.49"/>
        <n v="1196040.67"/>
        <n v="3359139.58"/>
        <n v="796932.65"/>
        <n v="631452.36"/>
        <n v="657774.93999999994"/>
        <n v="5196367.2300000004"/>
        <n v="3662767.95"/>
        <n v="3612466.06"/>
        <n v="1290772.76"/>
        <n v="2432663.4300000002"/>
        <n v="1019470.18"/>
        <n v="3185366.44"/>
        <n v="1478728.76"/>
        <n v="5112123.54"/>
        <n v="2381020.86"/>
        <n v="696475.55"/>
        <n v="1566860.3"/>
        <n v="1210079.97"/>
        <n v="5745076.9199999999"/>
        <n v="1733740.37"/>
        <n v="4050374.24"/>
        <n v="1860670.61"/>
        <n v="2380293.0299999998"/>
        <n v="2358203.96"/>
        <n v="1514454.86"/>
        <n v="1235712.42"/>
        <n v="2757127.65"/>
        <n v="1237945.9099999999"/>
        <n v="1320034.72"/>
        <n v="2869853.01"/>
        <n v="1898496.87"/>
        <n v="1810062.82"/>
        <n v="4985933.5199999996"/>
        <n v="706811.56"/>
        <n v="3943083.4"/>
        <n v="4379300.55"/>
        <n v="1771655.67"/>
        <n v="3763748.58"/>
        <n v="2996371.4"/>
        <n v="2972011.42"/>
        <n v="788906.43"/>
        <n v="1457918.55"/>
        <n v="2418213.21"/>
        <n v="2473182.7400000002"/>
        <n v="1248632.5900000001"/>
        <n v="2038418.62"/>
        <n v="1496132.54"/>
        <n v="1248766.8"/>
        <n v="1304968.6000000001"/>
        <n v="3009594"/>
        <n v="1284300.1200000001"/>
        <n v="3317425.26"/>
        <n v="5965797.1200000001"/>
        <n v="3351337.94"/>
        <n v="2839552.26"/>
        <n v="3058605.1"/>
        <n v="1807225.51"/>
        <n v="1876358.88"/>
        <n v="2355664.56"/>
        <n v="946228.8"/>
        <n v="656730.87"/>
        <n v="2390609.61"/>
        <n v="3810634.68"/>
        <n v="2185830.92"/>
        <n v="1866965.8"/>
        <n v="2265939.69"/>
        <n v="1834794.32"/>
        <n v="5432097.75"/>
        <n v="3520804.92"/>
        <n v="2882052.12"/>
        <n v="1173033.98"/>
        <n v="1219924.03"/>
        <n v="2337528.6"/>
        <n v="2827490.85"/>
        <n v="3669990.84"/>
        <n v="653567.93999999994"/>
        <n v="1646206.77"/>
        <n v="2437768.94"/>
        <n v="1171950.42"/>
        <n v="1659695.33"/>
        <n v="953898.17"/>
        <n v="1238326.76"/>
        <n v="3044799.46"/>
        <n v="1242788.06"/>
        <n v="2192099.04"/>
        <n v="1016207.96"/>
        <n v="3642788.73"/>
        <n v="1555512.48"/>
        <n v="3146838.56"/>
        <n v="5582066.7300000004"/>
        <n v="1926754.96"/>
        <n v="3031661.13"/>
        <n v="2342703.3199999998"/>
        <n v="1006494.48"/>
        <n v="2335370.14"/>
        <n v="2804103.95"/>
        <n v="2357792.44"/>
        <n v="3559562.55"/>
        <n v="799809.25"/>
        <n v="4428985.62"/>
        <n v="1976578.35"/>
        <n v="3316164.66"/>
        <n v="1201474.3400000001"/>
        <n v="5269159.41"/>
        <n v="1905727.47"/>
        <n v="3661405.71"/>
        <n v="1917868.6"/>
        <n v="1892075.16"/>
        <n v="1383358.88"/>
        <n v="741582.46"/>
        <n v="1257251.23"/>
        <n v="958342.5"/>
        <n v="3349085.16"/>
        <n v="2048900.55"/>
        <n v="3944692.2"/>
        <n v="1673163.91"/>
        <n v="1943569.82"/>
        <n v="1655069.84"/>
        <n v="1615826.58"/>
        <n v="4706932.26"/>
        <n v="2388056.66"/>
        <n v="2135178.16"/>
        <n v="3653357.19"/>
        <n v="2016644.24"/>
        <n v="1013489.33"/>
        <n v="635224.67000000004"/>
        <n v="3586942.77"/>
        <n v="1577350.26"/>
        <n v="1707492.01"/>
        <n v="1518432.46"/>
        <n v="2005760.16"/>
        <n v="1223880.1100000001"/>
        <n v="4520626.5599999996"/>
        <n v="1884523.38"/>
        <n v="2183691.5699999998"/>
        <n v="2338826.6800000002"/>
        <n v="759429.2"/>
        <n v="686655.19"/>
        <n v="2987953.22"/>
        <n v="3847944.86"/>
        <n v="928800.91"/>
        <n v="4783852.62"/>
        <n v="3519516.57"/>
        <n v="4466976.45"/>
        <n v="5550489"/>
        <n v="3954697"/>
        <n v="2025941.68"/>
        <n v="705136.82"/>
        <n v="2763345.4"/>
        <n v="1877516.76"/>
        <n v="645280.55000000005"/>
        <n v="2440490.52"/>
        <n v="5190747.03"/>
        <n v="2046653.82"/>
        <n v="5009426.79"/>
        <n v="3582453.69"/>
        <n v="4031222.8"/>
        <n v="1918165.86"/>
        <n v="1011261.81"/>
        <n v="1411537.2"/>
        <n v="1506746.47"/>
        <n v="2363397.42"/>
        <n v="5319763.59"/>
        <n v="2962690.38"/>
        <n v="1942073.46"/>
        <n v="2510505.2000000002"/>
        <n v="3013485.36"/>
        <n v="3347907.64"/>
        <n v="5534432.9699999997"/>
        <n v="4008775.88"/>
        <n v="3969111.4"/>
        <n v="1491069.19"/>
        <n v="1922205.78"/>
        <n v="1121437.6599999999"/>
        <n v="4862146.75"/>
        <n v="2784653.55"/>
        <n v="4012106.08"/>
        <n v="3820227.48"/>
        <n v="1107177.2"/>
        <n v="2795807.58"/>
        <n v="986664.49"/>
        <n v="1778474.6"/>
        <n v="3507570.93"/>
        <n v="1361715.96"/>
        <n v="995532.58"/>
        <n v="2054817.6"/>
        <n v="1884120.55"/>
        <n v="5505921.5700000003"/>
        <n v="1904312.77"/>
        <n v="2428169.79"/>
        <n v="1221714.67"/>
        <n v="1732246.72"/>
        <n v="1906084.05"/>
        <n v="2671942.15"/>
        <n v="2431340.7799999998"/>
        <n v="2232542.34"/>
        <n v="1901754.27"/>
        <n v="729875.1"/>
        <n v="3814840.42"/>
        <n v="1229713.3799999999"/>
        <n v="1018886.65"/>
        <n v="3515756.92"/>
        <n v="1403611.12"/>
        <n v="796827.51"/>
        <n v="5086122.2699999996"/>
        <n v="1747076.53"/>
        <n v="1515864.08"/>
        <n v="3573175.8"/>
        <n v="2981159.46"/>
        <n v="3728415.08"/>
        <n v="5253709.83"/>
        <n v="2378776.56"/>
        <n v="2250000.9"/>
        <n v="1210205.69"/>
        <n v="712760.11"/>
        <n v="3694647.98"/>
        <n v="687302.2"/>
        <n v="1563822.06"/>
        <n v="3220649.16"/>
        <n v="1611688.68"/>
        <n v="4923294.55"/>
        <n v="2068342.41"/>
        <n v="1943307.1"/>
        <n v="3703184.64"/>
        <n v="2394962.38"/>
        <n v="2339842.29"/>
        <n v="1194916.18"/>
        <n v="1650688.38"/>
        <n v="2219077.92"/>
        <n v="743689.33"/>
        <m/>
      </sharedItems>
    </cacheField>
    <cacheField name="Discount Value" numFmtId="0">
      <sharedItems containsString="0" containsBlank="1" containsNumber="1" minValue="0" maxValue="726710.9"/>
    </cacheField>
    <cacheField name="Net Sales Value" numFmtId="0">
      <sharedItems containsString="0" containsBlank="1" containsNumber="1" minValue="467924.52" maxValue="6057718.0800000001" count="651">
        <n v="742628.99"/>
        <n v="2178430.4"/>
        <n v="3209353.08"/>
        <n v="2159815.5699999998"/>
        <n v="1915146.66"/>
        <n v="1565118.6"/>
        <n v="2283232.66"/>
        <n v="2168337.19"/>
        <n v="3191764.08"/>
        <n v="1911683.11"/>
        <n v="1711966.3"/>
        <n v="1428672.81"/>
        <n v="1175595.5900000001"/>
        <n v="1645861.58"/>
        <n v="2554493.44"/>
        <n v="4543930.33"/>
        <n v="3250565"/>
        <n v="1146027.1299999999"/>
        <n v="2296416.0099999998"/>
        <n v="1962432.14"/>
        <n v="2322803.1"/>
        <n v="1210746.47"/>
        <n v="2664382.48"/>
        <n v="2416880.13"/>
        <n v="1821167.4"/>
        <n v="6057718.0800000001"/>
        <n v="556108.81000000006"/>
        <n v="1179075.1599999999"/>
        <n v="1694454.96"/>
        <n v="2178942.29"/>
        <n v="738504.1"/>
        <n v="1223802.8700000001"/>
        <n v="2040525.51"/>
        <n v="3377534.53"/>
        <n v="1375966.06"/>
        <n v="651098.72"/>
        <n v="1036148.83"/>
        <n v="1810866.27"/>
        <n v="3977889.64"/>
        <n v="2013383.67"/>
        <n v="1828760.92"/>
        <n v="693829.41"/>
        <n v="1440981.79"/>
        <n v="3859516.19"/>
        <n v="3713287.02"/>
        <n v="2165590.0299999998"/>
        <n v="1277487.26"/>
        <n v="1538993.88"/>
        <n v="3072486.1"/>
        <n v="1112603.22"/>
        <n v="2818249.01"/>
        <n v="2041130.31"/>
        <n v="1849403.03"/>
        <n v="1408078.02"/>
        <n v="467924.52"/>
        <n v="4011686"/>
        <n v="1157098.46"/>
        <n v="1566723.82"/>
        <n v="1348484"/>
        <n v="1160820.78"/>
        <n v="989534.13"/>
        <n v="2074382.88"/>
        <n v="682362.62"/>
        <n v="3598852.51"/>
        <n v="2394200.62"/>
        <n v="1614212.94"/>
        <n v="1845685.93"/>
        <n v="649046.56999999995"/>
        <n v="3718656.69"/>
        <n v="3645138.07"/>
        <n v="1641831.38"/>
        <n v="3201238.07"/>
        <n v="1521660.03"/>
        <n v="867625.47"/>
        <n v="1416198.24"/>
        <n v="1198576.73"/>
        <n v="3198655.39"/>
        <n v="4431926.8099999996"/>
        <n v="3370120.61"/>
        <n v="709719.74"/>
        <n v="3576557.16"/>
        <n v="3277566.22"/>
        <n v="1400627.62"/>
        <n v="3297796.35"/>
        <n v="1929554.34"/>
        <n v="4398477.4000000004"/>
        <n v="4884476.5"/>
        <n v="3914137.9"/>
        <n v="2414202.87"/>
        <n v="3432401.03"/>
        <n v="2945175.78"/>
        <n v="4704855.76"/>
        <n v="2584258.39"/>
        <n v="3001416.28"/>
        <n v="3172446.64"/>
        <n v="3536144.35"/>
        <n v="5477128.25"/>
        <n v="4955152.3499999996"/>
        <n v="2242377.16"/>
        <n v="3621984.57"/>
        <n v="622666.92000000004"/>
        <n v="629712.48"/>
        <n v="3088452.85"/>
        <n v="1398591.61"/>
        <n v="2343400.16"/>
        <n v="5038095.8"/>
        <n v="632934.53"/>
        <n v="3227707.06"/>
        <n v="2127995.52"/>
        <n v="1616453.46"/>
        <n v="1923114.42"/>
        <n v="3208551.76"/>
        <n v="572200.59"/>
        <n v="1360681.23"/>
        <n v="1839835.48"/>
        <n v="4788029.04"/>
        <n v="1479555.62"/>
        <n v="2438465.7000000002"/>
        <n v="1976933.57"/>
        <n v="1266626.79"/>
        <n v="706602.53"/>
        <n v="742475.92"/>
        <n v="2899675.71"/>
        <n v="2988009.83"/>
        <n v="1907210.1"/>
        <n v="1886487.18"/>
        <n v="1779554.44"/>
        <n v="3558110.51"/>
        <n v="4249204.49"/>
        <n v="679132.48"/>
        <n v="5364466.5599999996"/>
        <n v="2368837.58"/>
        <n v="481879.95"/>
        <n v="2639952.2400000002"/>
        <n v="571174.12"/>
        <n v="3518158.8"/>
        <n v="630911.61"/>
        <n v="3385129.4"/>
        <n v="1172166.71"/>
        <n v="1718935.15"/>
        <n v="2838882.87"/>
        <n v="1687624.96"/>
        <n v="1945137.21"/>
        <n v="758385.38"/>
        <n v="5319762.63"/>
        <n v="521718.19"/>
        <n v="3495224.75"/>
        <n v="1735733.28"/>
        <n v="1982429.58"/>
        <n v="2311447.2400000002"/>
        <n v="1597746.68"/>
        <n v="1144902.95"/>
        <n v="3275119.71"/>
        <n v="1223439.6599999999"/>
        <n v="1678364.21"/>
        <n v="3504796.22"/>
        <n v="2699292.1"/>
        <n v="1453158.53"/>
        <n v="4694918.5199999996"/>
        <n v="1923477.68"/>
        <n v="1143574.67"/>
        <n v="716670.02"/>
        <n v="5263991.83"/>
        <n v="2257473.64"/>
        <n v="3909536.59"/>
        <n v="3421147.42"/>
        <n v="555486.31000000006"/>
        <n v="5792707.7400000002"/>
        <n v="2172656.17"/>
        <n v="697906.15"/>
        <n v="722958.8"/>
        <n v="2844127.65"/>
        <n v="2988908.65"/>
        <n v="2073025.14"/>
        <n v="2225021.61"/>
        <n v="4004231.84"/>
        <n v="5090639.25"/>
        <n v="785055.77"/>
        <n v="4150730.02"/>
        <n v="4519715.04"/>
        <n v="1558613.66"/>
        <n v="5155152.72"/>
        <n v="4433829.2"/>
        <n v="1842302.87"/>
        <n v="3583334.25"/>
        <n v="5365468.08"/>
        <n v="3258062.92"/>
        <n v="1371970.09"/>
        <n v="3585773.59"/>
        <n v="3544104.56"/>
        <n v="3561278.92"/>
        <n v="3721921.52"/>
        <n v="1497986.94"/>
        <n v="2851187.89"/>
        <n v="1223992.8899999999"/>
        <n v="738514.27"/>
        <n v="1569647.4"/>
        <n v="2097703.04"/>
        <n v="3147507.85"/>
        <n v="5164454.8499999996"/>
        <n v="2069797.19"/>
        <n v="696440.16"/>
        <n v="897878.92"/>
        <n v="3505093.9"/>
        <n v="2480058.6"/>
        <n v="656274.29"/>
        <n v="803621.73"/>
        <n v="2558026.58"/>
        <n v="2103181.23"/>
        <n v="1933950.84"/>
        <n v="1378564.88"/>
        <n v="3253131.79"/>
        <n v="2371111.14"/>
        <n v="1649301.38"/>
        <n v="4934254.93"/>
        <n v="2127258.7200000002"/>
        <n v="1898451.7"/>
        <n v="711979.14"/>
        <n v="2628458.29"/>
        <n v="1711691.27"/>
        <n v="4900487.5199999996"/>
        <n v="2480233.4700000002"/>
        <n v="3445292.95"/>
        <n v="1448701.53"/>
        <n v="861209.92"/>
        <n v="1378271.67"/>
        <n v="1220851.8899999999"/>
        <n v="986105.59"/>
        <n v="3138881.36"/>
        <n v="1828968.13"/>
        <n v="2112645.27"/>
        <n v="1753070.45"/>
        <n v="2082586.98"/>
        <n v="1967271.2"/>
        <n v="1213484.53"/>
        <n v="1555532.98"/>
        <n v="1660130.08"/>
        <n v="1628497.1"/>
        <n v="3295116.61"/>
        <n v="929616.61"/>
        <n v="4613998.96"/>
        <n v="2249366.0099999998"/>
        <n v="548710.01"/>
        <n v="2217110.15"/>
        <n v="2110142.11"/>
        <n v="5609654.6399999997"/>
        <n v="686929.01"/>
        <n v="2465151.42"/>
        <n v="3332371"/>
        <n v="4592651.03"/>
        <n v="1990422.73"/>
        <n v="1730318.95"/>
        <n v="3070875.62"/>
        <n v="987746.54"/>
        <n v="2081725.83"/>
        <n v="1096355.99"/>
        <n v="5533646.1900000004"/>
        <n v="2306158.16"/>
        <n v="1086102.3999999999"/>
        <n v="1420792.2"/>
        <n v="3730264.06"/>
        <n v="2299302.71"/>
        <n v="1669001.86"/>
        <n v="4596890.3099999996"/>
        <n v="5343182.88"/>
        <n v="1179085.3899999999"/>
        <n v="1705630.17"/>
        <n v="1195205.46"/>
        <n v="3936736.39"/>
        <n v="1156051.77"/>
        <n v="1457070.74"/>
        <n v="3741925.1"/>
        <n v="3850515.98"/>
        <n v="2230813.84"/>
        <n v="741750"/>
        <n v="3501038.99"/>
        <n v="5422470.54"/>
        <n v="3573656.24"/>
        <n v="858167.91"/>
        <n v="2898336.24"/>
        <n v="1620216.93"/>
        <n v="2370836.9"/>
        <n v="2209940.2200000002"/>
        <n v="6025813.0800000001"/>
        <n v="1922877.36"/>
        <n v="1380195.85"/>
        <n v="3816861.45"/>
        <n v="4960886.38"/>
        <n v="4512027.4800000004"/>
        <n v="1171719.8"/>
        <n v="2409597.9300000002"/>
        <n v="575853.22"/>
        <n v="2106238.7200000002"/>
        <n v="2436145.14"/>
        <n v="782045.23"/>
        <n v="3594481.39"/>
        <n v="1295914.8799999999"/>
        <n v="2797639.82"/>
        <n v="1077331.8"/>
        <n v="2422600.2799999998"/>
        <n v="647937.53"/>
        <n v="2912340.08"/>
        <n v="2047311.25"/>
        <n v="708216.13"/>
        <n v="1379136.2"/>
        <n v="1829766.71"/>
        <n v="726683.76"/>
        <n v="714523.21"/>
        <n v="1230961.3400000001"/>
        <n v="2100533.16"/>
        <n v="1640220.23"/>
        <n v="2416038.92"/>
        <n v="3581710.38"/>
        <n v="922836.98"/>
        <n v="3387131.55"/>
        <n v="754903.63"/>
        <n v="3613249.72"/>
        <n v="3053036.24"/>
        <n v="1460643.29"/>
        <n v="1178088"/>
        <n v="1449157.53"/>
        <n v="708260.16"/>
        <n v="2961198.02"/>
        <n v="1390647.64"/>
        <n v="1043820.48"/>
        <n v="2442199.46"/>
        <n v="1468285.67"/>
        <n v="1325773.6299999999"/>
        <n v="2748128.08"/>
        <n v="1917169.46"/>
        <n v="5489993.7300000004"/>
        <n v="2943265.54"/>
        <n v="2882898.99"/>
        <n v="1651202.63"/>
        <n v="5017348.95"/>
        <n v="3443690.3"/>
        <n v="3493379.18"/>
        <n v="1206580.71"/>
        <n v="2112927.58"/>
        <n v="634155.04"/>
        <n v="3593205.98"/>
        <n v="1322077.54"/>
        <n v="1679852.03"/>
        <n v="3020021.44"/>
        <n v="3310160.4"/>
        <n v="1670804.69"/>
        <n v="1669120.24"/>
        <n v="728993.51"/>
        <n v="794942.83"/>
        <n v="1540847"/>
        <n v="820019.96"/>
        <n v="1601003.73"/>
        <n v="3174335.13"/>
        <n v="2618959.5699999998"/>
        <n v="732728.37"/>
        <n v="761284.07"/>
        <n v="2262318.64"/>
        <n v="538325.23"/>
        <n v="1920552.96"/>
        <n v="687395.28"/>
        <n v="1387880.82"/>
        <n v="498049.99"/>
        <n v="1384473.22"/>
        <n v="1801421.6"/>
        <n v="4904818.62"/>
        <n v="1432834.36"/>
        <n v="3658344.84"/>
        <n v="1574638.64"/>
        <n v="814693.83"/>
        <n v="1386718.22"/>
        <n v="733150.12"/>
        <n v="2226689.7599999998"/>
        <n v="1173170.48"/>
        <n v="1505258.73"/>
        <n v="2459600.19"/>
        <n v="1562027.54"/>
        <n v="2784397.33"/>
        <n v="1350515.54"/>
        <n v="1523248.67"/>
        <n v="674648.12"/>
        <n v="2434369.77"/>
        <n v="1137373.2"/>
        <n v="3604132.29"/>
        <n v="1783898.82"/>
        <n v="1117038.2"/>
        <n v="5240551.5599999996"/>
        <n v="2117689.7200000002"/>
        <n v="784369.18"/>
        <n v="1353987.77"/>
        <n v="5466615.71"/>
        <n v="628995.77"/>
        <n v="3509489.52"/>
        <n v="4452164.5199999996"/>
        <n v="654020.86"/>
        <n v="1160822.1100000001"/>
        <n v="4399163.5"/>
        <n v="1719648.32"/>
        <n v="1220164.8400000001"/>
        <n v="5233427.5"/>
        <n v="4624092.4400000004"/>
        <n v="1173966.33"/>
        <n v="5086976.26"/>
        <n v="1481545.74"/>
        <n v="4043985.97"/>
        <n v="1969543.92"/>
        <n v="5737979.7599999998"/>
        <n v="1116809.69"/>
        <n v="3201840.76"/>
        <n v="3401922.44"/>
        <n v="3912781.05"/>
        <n v="639619.64"/>
        <n v="1941348.96"/>
        <n v="2069715.55"/>
        <n v="3687074.16"/>
        <n v="1206198.27"/>
        <n v="1068598.29"/>
        <n v="3449174.2"/>
        <n v="1522200.12"/>
        <n v="1720275.52"/>
        <n v="738562.77"/>
        <n v="1136238.6399999999"/>
        <n v="2939247.13"/>
        <n v="796932.65"/>
        <n v="599879.74"/>
        <n v="657774.93999999994"/>
        <n v="5196367.2300000004"/>
        <n v="3388060.35"/>
        <n v="3612466.06"/>
        <n v="1290772.76"/>
        <n v="2432663.4300000002"/>
        <n v="943009.92"/>
        <n v="3185366.44"/>
        <n v="1478728.76"/>
        <n v="5112123.54"/>
        <n v="2333400.44"/>
        <n v="644239.88"/>
        <n v="1566860.3"/>
        <n v="1210079.97"/>
        <n v="5026942.3099999996"/>
        <n v="1560366.33"/>
        <n v="4050374.24"/>
        <n v="1674603.55"/>
        <n v="2380293.0299999998"/>
        <n v="2311039.88"/>
        <n v="1484165.76"/>
        <n v="1235712.42"/>
        <n v="2550343.08"/>
        <n v="1237945.9099999999"/>
        <n v="1320034.72"/>
        <n v="2726360.36"/>
        <n v="1898496.87"/>
        <n v="1810062.82"/>
        <n v="4985933.5199999996"/>
        <n v="706811.56"/>
        <n v="3745929.23"/>
        <n v="3831887.98"/>
        <n v="1771655.67"/>
        <n v="3763748.58"/>
        <n v="2996371.4"/>
        <n v="2674810.2799999998"/>
        <n v="773128.3"/>
        <n v="1348574.66"/>
        <n v="2297302.5499999998"/>
        <n v="2473182.7400000002"/>
        <n v="1223659.94"/>
        <n v="1936497.69"/>
        <n v="1496132.54"/>
        <n v="1248766.8"/>
        <n v="1304968.6000000001"/>
        <n v="2783874.45"/>
        <n v="1155870.1100000001"/>
        <n v="2902747.1"/>
        <n v="5965797.1200000001"/>
        <n v="3351337.94"/>
        <n v="2839552.26"/>
        <n v="2676279.46"/>
        <n v="1807225.51"/>
        <n v="1688722.99"/>
        <n v="2308551.27"/>
        <n v="946228.8"/>
        <n v="574639.51"/>
        <n v="2271079.13"/>
        <n v="3334305.34"/>
        <n v="2021893.6"/>
        <n v="1866965.8"/>
        <n v="2265939.69"/>
        <n v="1834794.32"/>
        <n v="5432097.75"/>
        <n v="3520804.92"/>
        <n v="2882052.12"/>
        <n v="1055730.58"/>
        <n v="1195525.55"/>
        <n v="2337528.6"/>
        <n v="2827490.85"/>
        <n v="3394741.53"/>
        <n v="620889.54"/>
        <n v="1522741.26"/>
        <n v="2193992.0499999998"/>
        <n v="1171950.42"/>
        <n v="1626501.42"/>
        <n v="953898.17"/>
        <n v="1083535.9099999999"/>
        <n v="2664199.5299999998"/>
        <n v="1217932.3"/>
        <n v="2027691.61"/>
        <n v="965397.56"/>
        <n v="3369579.58"/>
        <n v="1555512.48"/>
        <n v="3083901.79"/>
        <n v="5163411.7300000004"/>
        <n v="1888219.86"/>
        <n v="3031661.13"/>
        <n v="2049865.41"/>
        <n v="986364.59"/>
        <n v="2043448.87"/>
        <n v="2748021.87"/>
        <n v="2357792.44"/>
        <n v="3114617.23"/>
        <n v="759818.79"/>
        <n v="4428985.62"/>
        <n v="1937046.78"/>
        <n v="3067452.31"/>
        <n v="1201474.3400000001"/>
        <n v="4873972.45"/>
        <n v="1810441.1"/>
        <n v="3295265.14"/>
        <n v="1774028.46"/>
        <n v="1892075.16"/>
        <n v="1383358.88"/>
        <n v="726750.81"/>
        <n v="1131526.1100000001"/>
        <n v="939175.65"/>
        <n v="3349085.16"/>
        <n v="1792787.98"/>
        <n v="3944692.2"/>
        <n v="1673163.91"/>
        <n v="1943569.82"/>
        <n v="1655069.84"/>
        <n v="1494639.59"/>
        <n v="4236239.03"/>
        <n v="2089549.58"/>
        <n v="2028419.25"/>
        <n v="3653357.19"/>
        <n v="2016644.24"/>
        <n v="993219.54"/>
        <n v="635224.67000000004"/>
        <n v="3586942.77"/>
        <n v="1498482.75"/>
        <n v="1494055.51"/>
        <n v="1442510.84"/>
        <n v="1855328.15"/>
        <n v="1132089.1000000001"/>
        <n v="4520626.5599999996"/>
        <n v="1884523.38"/>
        <n v="2140017.7400000002"/>
        <n v="2104944.0099999998"/>
        <n v="721457.74"/>
        <n v="600823.29"/>
        <n v="2987953.22"/>
        <n v="3463150.37"/>
        <n v="859140.84"/>
        <n v="4305467.3600000003"/>
        <n v="3519516.57"/>
        <n v="4466976.45"/>
        <n v="5550489"/>
        <n v="3460359.88"/>
        <n v="2025941.68"/>
        <n v="634623.14"/>
        <n v="2763345.4"/>
        <n v="1689765.08"/>
        <n v="613016.52"/>
        <n v="2440490.52"/>
        <n v="5190747.03"/>
        <n v="2005720.74"/>
        <n v="4383248.4400000004"/>
        <n v="3403331.01"/>
        <n v="4031222.8"/>
        <n v="1918165.86"/>
        <n v="1011261.81"/>
        <n v="1340960.3400000001"/>
        <n v="1506746.47"/>
        <n v="2363397.42"/>
        <n v="5319763.59"/>
        <n v="2903436.57"/>
        <n v="1942073.46"/>
        <n v="2510505.2000000002"/>
        <n v="2636799.69"/>
        <n v="2929419.18"/>
        <n v="5534432.9699999997"/>
        <n v="3507678.9"/>
        <n v="3969111.4"/>
        <n v="1461247.81"/>
        <n v="1826095.49"/>
        <n v="1121437.6599999999"/>
        <n v="4862146.75"/>
        <n v="2575804.5299999998"/>
        <n v="4012106.08"/>
        <n v="3820227.48"/>
        <n v="1107177.2"/>
        <n v="2586122.0099999998"/>
        <n v="986664.49"/>
        <n v="1600627.14"/>
        <n v="3069124.56"/>
        <n v="1361715.96"/>
        <n v="895979.32"/>
        <n v="2054817.6"/>
        <n v="1846438.14"/>
        <n v="5505921.5700000003"/>
        <n v="1904312.77"/>
        <n v="2379606.39"/>
        <n v="1221714.67"/>
        <n v="1645634.38"/>
        <n v="1867962.37"/>
        <n v="2337949.38"/>
        <n v="2431340.7799999998"/>
        <n v="2065101.66"/>
        <n v="1664034.99"/>
        <n v="675134.47"/>
        <n v="3814840.42"/>
        <n v="1229713.3799999999"/>
        <n v="967942.32"/>
        <n v="3164181.23"/>
        <n v="1403611.12"/>
        <n v="796827.51"/>
        <n v="4831816.16"/>
        <n v="1747076.53"/>
        <n v="1364277.67"/>
        <n v="3501712.28"/>
        <n v="2981159.46"/>
        <n v="3728415.08"/>
        <n v="5253709.83"/>
        <n v="2331201.0299999998"/>
        <n v="2137500.86"/>
        <n v="1149695.4099999999"/>
        <n v="659303.1"/>
        <n v="3694647.98"/>
        <n v="635754.53"/>
        <n v="1532545.62"/>
        <n v="3156236.18"/>
        <n v="1490812.03"/>
        <n v="4554047.46"/>
        <n v="1964925.29"/>
        <n v="1943307.1"/>
        <n v="3425445.79"/>
        <n v="2155466.14"/>
        <n v="2293045.44"/>
        <n v="1194916.18"/>
        <n v="1568153.96"/>
        <n v="2108124.02"/>
        <n v="669320.4"/>
        <m/>
      </sharedItems>
    </cacheField>
    <cacheField name="Target(20,00,000)"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6291.688485879633" createdVersion="7" refreshedVersion="7" minRefreshableVersion="3" recordCount="650" xr:uid="{2766D0FC-49C8-4BA2-A0A9-5B1C1CF63C9A}">
  <cacheSource type="worksheet">
    <worksheetSource ref="A1:U651" sheet="Tata Motors Sales Data"/>
  </cacheSource>
  <cacheFields count="23">
    <cacheField name="Order ID" numFmtId="0">
      <sharedItems containsSemiMixedTypes="0" containsString="0" containsNumber="1" containsInteger="1" minValue="800001" maxValue="800650"/>
    </cacheField>
    <cacheField name="Order Date" numFmtId="14">
      <sharedItems containsSemiMixedTypes="0" containsNonDate="0" containsDate="1" containsString="0" minDate="2024-04-01T00:00:00" maxDate="2025-04-01T00:00:00" count="295">
        <d v="2024-04-01T00:00:00"/>
        <d v="2024-04-02T00:00:00"/>
        <d v="2024-04-03T00:00:00"/>
        <d v="2024-04-04T00:00:00"/>
        <d v="2024-04-05T00:00:00"/>
        <d v="2024-04-07T00:00:00"/>
        <d v="2024-04-08T00:00:00"/>
        <d v="2024-04-09T00:00:00"/>
        <d v="2024-04-11T00:00:00"/>
        <d v="2024-04-12T00:00:00"/>
        <d v="2024-04-13T00:00:00"/>
        <d v="2024-04-14T00:00:00"/>
        <d v="2024-04-15T00:00:00"/>
        <d v="2024-04-17T00:00:00"/>
        <d v="2024-04-19T00:00:00"/>
        <d v="2024-04-20T00:00:00"/>
        <d v="2024-04-21T00:00:00"/>
        <d v="2024-04-22T00:00:00"/>
        <d v="2024-04-23T00:00:00"/>
        <d v="2024-04-25T00:00:00"/>
        <d v="2024-04-26T00:00:00"/>
        <d v="2024-04-27T00:00:00"/>
        <d v="2024-04-28T00:00:00"/>
        <d v="2024-04-29T00:00:00"/>
        <d v="2024-05-01T00:00:00"/>
        <d v="2024-05-02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2T00:00:00"/>
        <d v="2024-05-24T00:00:00"/>
        <d v="2024-05-25T00:00:00"/>
        <d v="2024-05-26T00:00:00"/>
        <d v="2024-05-27T00:00:00"/>
        <d v="2024-05-28T00:00:00"/>
        <d v="2024-05-29T00:00:00"/>
        <d v="2024-05-30T00:00:00"/>
        <d v="2024-06-01T00:00:00"/>
        <d v="2024-06-04T00:00:00"/>
        <d v="2024-06-06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9T00:00:00"/>
        <d v="2024-07-01T00:00:00"/>
        <d v="2024-07-02T00:00:00"/>
        <d v="2024-07-04T00:00:00"/>
        <d v="2024-07-05T00:00:00"/>
        <d v="2024-07-06T00:00:00"/>
        <d v="2024-07-07T00:00:00"/>
        <d v="2024-07-08T00:00:00"/>
        <d v="2024-07-09T00:00:00"/>
        <d v="2024-07-10T00:00:00"/>
        <d v="2024-07-11T00:00:00"/>
        <d v="2024-07-12T00:00:00"/>
        <d v="2024-07-14T00:00:00"/>
        <d v="2024-07-15T00:00:00"/>
        <d v="2024-07-17T00:00:00"/>
        <d v="2024-07-19T00:00:00"/>
        <d v="2024-07-20T00:00:00"/>
        <d v="2024-07-22T00:00:00"/>
        <d v="2024-07-23T00:00:00"/>
        <d v="2024-07-24T00:00:00"/>
        <d v="2024-07-25T00:00:00"/>
        <d v="2024-07-26T00:00:00"/>
        <d v="2024-07-27T00:00:00"/>
        <d v="2024-07-28T00:00:00"/>
        <d v="2024-07-29T00:00:00"/>
        <d v="2024-07-30T00:00:00"/>
        <d v="2024-08-01T00:00:00"/>
        <d v="2024-08-02T00:00:00"/>
        <d v="2024-08-03T00:00:00"/>
        <d v="2024-08-05T00:00:00"/>
        <d v="2024-08-06T00:00:00"/>
        <d v="2024-08-07T00:00:00"/>
        <d v="2024-08-08T00:00:00"/>
        <d v="2024-08-09T00:00:00"/>
        <d v="2024-08-11T00:00:00"/>
        <d v="2024-08-12T00:00:00"/>
        <d v="2024-08-13T00:00:00"/>
        <d v="2024-08-14T00:00:00"/>
        <d v="2024-08-15T00:00:00"/>
        <d v="2024-08-16T00:00:00"/>
        <d v="2024-08-17T00:00:00"/>
        <d v="2024-08-18T00:00:00"/>
        <d v="2024-08-19T00:00:00"/>
        <d v="2024-08-20T00:00:00"/>
        <d v="2024-08-21T00:00:00"/>
        <d v="2024-08-22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6T00:00:00"/>
        <d v="2024-09-17T00:00:00"/>
        <d v="2024-09-18T00:00:00"/>
        <d v="2024-09-20T00:00:00"/>
        <d v="2024-09-21T00:00:00"/>
        <d v="2024-09-23T00:00:00"/>
        <d v="2024-09-24T00:00:00"/>
        <d v="2024-09-26T00:00:00"/>
        <d v="2024-09-27T00:00:00"/>
        <d v="2024-09-28T00:00:00"/>
        <d v="2024-09-29T00:00:00"/>
        <d v="2024-09-30T00:00:00"/>
        <d v="2024-10-02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3T00:00:00"/>
        <d v="2024-10-24T00:00:00"/>
        <d v="2024-10-25T00:00:00"/>
        <d v="2024-10-26T00:00:00"/>
        <d v="2024-10-27T00:00:00"/>
        <d v="2024-10-28T00:00:00"/>
        <d v="2024-10-29T00:00:00"/>
        <d v="2024-10-30T00:00:00"/>
        <d v="2024-11-03T00:00:00"/>
        <d v="2024-11-04T00:00:00"/>
        <d v="2024-11-06T00:00:00"/>
        <d v="2024-11-07T00:00:00"/>
        <d v="2024-11-09T00:00:00"/>
        <d v="2024-11-10T00:00:00"/>
        <d v="2024-11-11T00:00:00"/>
        <d v="2024-11-12T00:00:00"/>
        <d v="2024-11-13T00:00:00"/>
        <d v="2024-11-14T00:00:00"/>
        <d v="2024-11-15T00:00:00"/>
        <d v="2024-11-16T00:00:00"/>
        <d v="2024-11-17T00:00:00"/>
        <d v="2024-11-18T00:00:00"/>
        <d v="2024-11-21T00:00:00"/>
        <d v="2024-11-22T00:00:00"/>
        <d v="2024-11-24T00:00:00"/>
        <d v="2024-11-26T00:00:00"/>
        <d v="2024-11-27T00:00:00"/>
        <d v="2024-11-28T00:00:00"/>
        <d v="2024-11-29T00:00:00"/>
        <d v="2024-11-30T00:00:00"/>
        <d v="2024-12-01T00:00:00"/>
        <d v="2024-12-02T00:00:00"/>
        <d v="2024-12-04T00:00:00"/>
        <d v="2024-12-05T00:00:00"/>
        <d v="2024-12-06T00:00:00"/>
        <d v="2024-12-07T00:00:00"/>
        <d v="2024-12-08T00:00:00"/>
        <d v="2024-12-10T00:00:00"/>
        <d v="2024-12-11T00:00:00"/>
        <d v="2024-12-12T00:00:00"/>
        <d v="2024-12-13T00:00:00"/>
        <d v="2024-12-14T00:00:00"/>
        <d v="2024-12-15T00:00:00"/>
        <d v="2024-12-16T00:00:00"/>
        <d v="2024-12-17T00:00:00"/>
        <d v="2024-12-18T00:00:00"/>
        <d v="2024-12-19T00:00:00"/>
        <d v="2024-12-21T00:00:00"/>
        <d v="2024-12-22T00:00:00"/>
        <d v="2024-12-23T00:00:00"/>
        <d v="2024-12-24T00:00:00"/>
        <d v="2024-12-25T00:00:00"/>
        <d v="2024-12-26T00:00:00"/>
        <d v="2024-12-28T00:00:00"/>
        <d v="2024-12-29T00:00:00"/>
        <d v="2024-12-30T00:00:00"/>
        <d v="2024-12-31T00:00:00"/>
        <d v="2025-01-01T00:00:00"/>
        <d v="2025-01-02T00:00:00"/>
        <d v="2025-01-03T00:00:00"/>
        <d v="2025-01-05T00:00:00"/>
        <d v="2025-01-06T00:00:00"/>
        <d v="2025-01-07T00:00:00"/>
        <d v="2025-01-08T00:00:00"/>
        <d v="2025-01-11T00:00:00"/>
        <d v="2025-01-12T00:00:00"/>
        <d v="2025-01-13T00:00:00"/>
        <d v="2025-01-14T00:00:00"/>
        <d v="2025-01-15T00:00:00"/>
        <d v="2025-01-16T00:00:00"/>
        <d v="2025-01-17T00:00:00"/>
        <d v="2025-01-19T00:00:00"/>
        <d v="2025-01-20T00:00:00"/>
        <d v="2025-01-21T00:00:00"/>
        <d v="2025-01-22T00:00:00"/>
        <d v="2025-01-24T00:00:00"/>
        <d v="2025-01-25T00:00:00"/>
        <d v="2025-01-27T00:00:00"/>
        <d v="2025-01-28T00:00:00"/>
        <d v="2025-01-29T00:00:00"/>
        <d v="2025-01-30T00:00:00"/>
        <d v="2025-01-31T00:00:00"/>
        <d v="2025-02-01T00:00:00"/>
        <d v="2025-02-03T00:00:00"/>
        <d v="2025-02-04T00:00:00"/>
        <d v="2025-02-08T00:00:00"/>
        <d v="2025-02-09T00:00:00"/>
        <d v="2025-02-10T00:00:00"/>
        <d v="2025-02-11T00:00:00"/>
        <d v="2025-02-14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10T00:00:00"/>
        <d v="2025-03-11T00:00:00"/>
        <d v="2025-03-12T00:00:00"/>
        <d v="2025-03-13T00:00:00"/>
        <d v="2025-03-14T00:00:00"/>
        <d v="2025-03-15T00:00:00"/>
        <d v="2025-03-16T00:00:00"/>
        <d v="2025-03-17T00:00:00"/>
        <d v="2025-03-18T00:00:00"/>
        <d v="2025-03-19T00:00:00"/>
        <d v="2025-03-20T00:00:00"/>
        <d v="2025-03-22T00:00:00"/>
        <d v="2025-03-24T00:00:00"/>
        <d v="2025-03-25T00:00:00"/>
        <d v="2025-03-26T00:00:00"/>
        <d v="2025-03-27T00:00:00"/>
        <d v="2025-03-29T00:00:00"/>
        <d v="2025-03-30T00:00:00"/>
        <d v="2025-03-31T00:00:00"/>
      </sharedItems>
      <fieldGroup par="22" base="1">
        <rangePr groupBy="months" startDate="2024-04-01T00:00:00" endDate="2025-04-01T00:00:00"/>
        <groupItems count="14">
          <s v="&lt;01-04-2024"/>
          <s v="Jan"/>
          <s v="Feb"/>
          <s v="Mar"/>
          <s v="Apr"/>
          <s v="May"/>
          <s v="Jun"/>
          <s v="Jul"/>
          <s v="Aug"/>
          <s v="Sep"/>
          <s v="Oct"/>
          <s v="Nov"/>
          <s v="Dec"/>
          <s v="&gt;01-04-2025"/>
        </groupItems>
      </fieldGroup>
    </cacheField>
    <cacheField name="Region" numFmtId="0">
      <sharedItems count="4">
        <s v="East"/>
        <s v="South"/>
        <s v="North"/>
        <s v="West"/>
      </sharedItems>
    </cacheField>
    <cacheField name="State" numFmtId="0">
      <sharedItems count="14">
        <s v="Bihar"/>
        <s v="Odisha"/>
        <s v="Tamil Nadu"/>
        <s v="Uttar Pradesh"/>
        <s v="Haryana"/>
        <s v="Telangana"/>
        <s v="Gujarat"/>
        <s v="West Bengal"/>
        <s v="Karnataka"/>
        <s v="Rajasthan"/>
        <s v="Maharashtra"/>
        <s v="Delhi"/>
        <s v="Punjab"/>
        <s v="Kerala"/>
      </sharedItems>
    </cacheField>
    <cacheField name="City" numFmtId="0">
      <sharedItems/>
    </cacheField>
    <cacheField name="Sales Channel" numFmtId="0">
      <sharedItems count="5">
        <s v="Online Booking"/>
        <s v="Exchange Program"/>
        <s v="Authorized Dealer"/>
        <s v="Company Showroom"/>
        <s v="Corporate/Fleet Sale"/>
      </sharedItems>
    </cacheField>
    <cacheField name="Dealer" numFmtId="0">
      <sharedItems/>
    </cacheField>
    <cacheField name="Company" numFmtId="0">
      <sharedItems/>
    </cacheField>
    <cacheField name="Segment" numFmtId="0">
      <sharedItems count="4">
        <s v="PV - ICE"/>
        <s v="CV - SCV"/>
        <s v="CV - Pickup"/>
        <s v="PV - EV"/>
      </sharedItems>
    </cacheField>
    <cacheField name="Model Name" numFmtId="0">
      <sharedItems count="15">
        <s v="Tigor"/>
        <s v="Ace Gold"/>
        <s v="Intra V30"/>
        <s v="Curvv"/>
        <s v="Altroz"/>
        <s v="Punch EV"/>
        <s v="Punch"/>
        <s v="Harrier"/>
        <s v="Nexon EV"/>
        <s v="Yodha 2.0"/>
        <s v="Nexon"/>
        <s v="Curvv EV"/>
        <s v="Tigor EV"/>
        <s v="Safari"/>
        <s v="Tiago"/>
      </sharedItems>
    </cacheField>
    <cacheField name="Variant" numFmtId="0">
      <sharedItems/>
    </cacheField>
    <cacheField name="Salesperson" numFmtId="0">
      <sharedItems count="10">
        <s v="Anjali Rao"/>
        <s v="Priya Nair"/>
        <s v="Amit Sharma"/>
        <s v="Divya Pillai"/>
        <s v="Suresh Kumar"/>
        <s v="Rohit Verma"/>
        <s v="Sneha Kapoor"/>
        <s v="Karan Mehta"/>
        <s v="Vikas Yadav"/>
        <s v="Neha Singh"/>
      </sharedItems>
    </cacheField>
    <cacheField name="Units Sold" numFmtId="0">
      <sharedItems containsSemiMixedTypes="0" containsString="0" containsNumber="1" containsInteger="1" minValue="1" maxValue="6"/>
    </cacheField>
    <cacheField name="Ex-Showroom Price" numFmtId="4">
      <sharedItems containsSemiMixedTypes="0" containsString="0" containsNumber="1" containsInteger="1" minValue="550000" maxValue="1900000"/>
    </cacheField>
    <cacheField name="Unit Price" numFmtId="4">
      <sharedItems containsSemiMixedTypes="0" containsString="0" containsNumber="1" minValue="533667.91" maxValue="1937895.72"/>
    </cacheField>
    <cacheField name="Discount %" numFmtId="164">
      <sharedItems containsSemiMixedTypes="0" containsString="0" containsNumber="1" minValue="0" maxValue="12.5"/>
    </cacheField>
    <cacheField name="Return Units" numFmtId="0">
      <sharedItems containsSemiMixedTypes="0" containsString="0" containsNumber="1" containsInteger="1" minValue="0" maxValue="1"/>
    </cacheField>
    <cacheField name="Gross Sales Value" numFmtId="4">
      <sharedItems containsSemiMixedTypes="0" containsString="0" containsNumber="1" minValue="534770.88" maxValue="6085698.0599999996"/>
    </cacheField>
    <cacheField name="Discount Value" numFmtId="4">
      <sharedItems containsSemiMixedTypes="0" containsString="0" containsNumber="1" minValue="0" maxValue="726710.9"/>
    </cacheField>
    <cacheField name="Net Sales Value" numFmtId="4">
      <sharedItems containsSemiMixedTypes="0" containsString="0" containsNumber="1" minValue="467924.52" maxValue="6057718.0800000001"/>
    </cacheField>
    <cacheField name="Target(20,00,000)" numFmtId="0">
      <sharedItems/>
    </cacheField>
    <cacheField name="Quarters" numFmtId="0" databaseField="0">
      <fieldGroup base="1">
        <rangePr groupBy="quarters" startDate="2024-04-01T00:00:00" endDate="2025-04-01T00:00:00"/>
        <groupItems count="6">
          <s v="&lt;01-04-2024"/>
          <s v="Qtr1"/>
          <s v="Qtr2"/>
          <s v="Qtr3"/>
          <s v="Qtr4"/>
          <s v="&gt;01-04-2025"/>
        </groupItems>
      </fieldGroup>
    </cacheField>
    <cacheField name="Years"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2040113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1">
  <r>
    <n v="800328"/>
    <s v="01-04-2024"/>
    <x v="0"/>
    <s v="Bihar"/>
    <s v="Gaya"/>
    <s v="Online Booking"/>
    <s v="Big Wheels Auto"/>
    <s v="Tata Motors"/>
    <s v="PV - ICE"/>
    <x v="0"/>
    <s v="XZ"/>
    <s v="Anjali Rao"/>
    <n v="1"/>
    <x v="0"/>
    <n v="742628.99"/>
    <n v="0"/>
    <n v="0"/>
    <x v="0"/>
    <n v="0"/>
    <x v="0"/>
    <s v="Not achive"/>
  </r>
  <r>
    <n v="800512"/>
    <s v="02-04-2024"/>
    <x v="0"/>
    <s v="Odisha"/>
    <s v="Cuttack"/>
    <s v="Exchange Program"/>
    <s v="Sai Service Tata"/>
    <s v="Tata Motors"/>
    <s v="CV - SCV"/>
    <x v="1"/>
    <s v="CNG"/>
    <s v="Priya Nair"/>
    <n v="4"/>
    <x v="1"/>
    <n v="544607.6"/>
    <n v="0"/>
    <n v="0"/>
    <x v="1"/>
    <n v="0"/>
    <x v="1"/>
    <s v="Achive"/>
  </r>
  <r>
    <n v="800332"/>
    <s v="03-04-2024"/>
    <x v="1"/>
    <s v="Tamil Nadu"/>
    <s v="Coimbatore"/>
    <s v="Authorized Dealer"/>
    <s v="Reliance Trishakti"/>
    <s v="Tata Motors"/>
    <s v="CV - Pickup"/>
    <x v="2"/>
    <s v="Base"/>
    <s v="Priya Nair"/>
    <n v="4"/>
    <x v="2"/>
    <n v="802338.27"/>
    <n v="0"/>
    <n v="0"/>
    <x v="2"/>
    <n v="0"/>
    <x v="2"/>
    <s v="Achive"/>
  </r>
  <r>
    <n v="800374"/>
    <s v="03-04-2024"/>
    <x v="1"/>
    <s v="Tamil Nadu"/>
    <s v="Coimbatore"/>
    <s v="Company Showroom"/>
    <s v="Sunrise Tata Showroom"/>
    <s v="Tata Motors"/>
    <s v="PV - ICE"/>
    <x v="3"/>
    <s v="Smart"/>
    <s v="Amit Sharma"/>
    <n v="2"/>
    <x v="3"/>
    <n v="1199897.54"/>
    <n v="10"/>
    <n v="0"/>
    <x v="3"/>
    <n v="239979.51"/>
    <x v="3"/>
    <s v="Achive"/>
  </r>
  <r>
    <n v="800459"/>
    <s v="03-04-2024"/>
    <x v="2"/>
    <s v="Uttar Pradesh"/>
    <s v="Kanpur"/>
    <s v="Authorized Dealer"/>
    <s v="National Tata Dealership"/>
    <s v="Tata Motors"/>
    <s v="CV - SCV"/>
    <x v="1"/>
    <s v="CNG"/>
    <s v="Anjali Rao"/>
    <n v="4"/>
    <x v="1"/>
    <n v="547184.76"/>
    <n v="12.5"/>
    <n v="0"/>
    <x v="4"/>
    <n v="273592.38"/>
    <x v="4"/>
    <s v="Not achive"/>
  </r>
  <r>
    <n v="800618"/>
    <s v="03-04-2024"/>
    <x v="2"/>
    <s v="Haryana"/>
    <s v="Gurugram"/>
    <s v="Company Showroom"/>
    <s v="Sunrise Tata Showroom"/>
    <s v="Tata Motors"/>
    <s v="PV - ICE"/>
    <x v="4"/>
    <s v="XE"/>
    <s v="Divya Pillai"/>
    <n v="2"/>
    <x v="2"/>
    <n v="798529.9"/>
    <n v="2"/>
    <n v="0"/>
    <x v="5"/>
    <n v="31941.200000000001"/>
    <x v="5"/>
    <s v="Not achive"/>
  </r>
  <r>
    <n v="800620"/>
    <s v="03-04-2024"/>
    <x v="2"/>
    <s v="Haryana"/>
    <s v="Faridabad"/>
    <s v="Authorized Dealer"/>
    <s v="Concorde Tata"/>
    <s v="Tata Motors"/>
    <s v="PV - ICE"/>
    <x v="3"/>
    <s v="Accomplished"/>
    <s v="Priya Nair"/>
    <n v="2"/>
    <x v="3"/>
    <n v="1201701.3999999999"/>
    <n v="5"/>
    <n v="0"/>
    <x v="6"/>
    <n v="120170.14"/>
    <x v="6"/>
    <s v="Achive"/>
  </r>
  <r>
    <n v="800301"/>
    <s v="04-04-2024"/>
    <x v="1"/>
    <s v="Telangana"/>
    <s v="Warangal"/>
    <s v="Corporate/Fleet Sale"/>
    <s v="Capital Cars"/>
    <s v="Tata Motors"/>
    <s v="PV - EV"/>
    <x v="5"/>
    <s v="Smart"/>
    <s v="Priya Nair"/>
    <n v="2"/>
    <x v="3"/>
    <n v="1204631.77"/>
    <n v="10"/>
    <n v="0"/>
    <x v="7"/>
    <n v="240926.35"/>
    <x v="7"/>
    <s v="Achive"/>
  </r>
  <r>
    <n v="800171"/>
    <s v="05-04-2024"/>
    <x v="3"/>
    <s v="Gujarat"/>
    <s v="Vadodara"/>
    <s v="Authorized Dealer"/>
    <s v="Metro Tata Motors"/>
    <s v="Tata Motors"/>
    <s v="CV - SCV"/>
    <x v="1"/>
    <s v="CNG"/>
    <s v="Suresh Kumar"/>
    <n v="6"/>
    <x v="1"/>
    <n v="559958.61"/>
    <n v="5"/>
    <n v="0"/>
    <x v="8"/>
    <n v="167987.58"/>
    <x v="8"/>
    <s v="Achive"/>
  </r>
  <r>
    <n v="800634"/>
    <s v="05-04-2024"/>
    <x v="0"/>
    <s v="West Bengal"/>
    <s v="Kolkata"/>
    <s v="Online Booking"/>
    <s v="National Tata Dealership"/>
    <s v="Tata Motors"/>
    <s v="PV - ICE"/>
    <x v="6"/>
    <s v="Pure"/>
    <s v="Rohit Verma"/>
    <n v="3"/>
    <x v="4"/>
    <n v="708030.78"/>
    <n v="10"/>
    <n v="0"/>
    <x v="9"/>
    <n v="212409.23"/>
    <x v="9"/>
    <s v="Not achive"/>
  </r>
  <r>
    <n v="800252"/>
    <s v="07-04-2024"/>
    <x v="1"/>
    <s v="Karnataka"/>
    <s v="Mysuru"/>
    <s v="Authorized Dealer"/>
    <s v="National Tata Dealership"/>
    <s v="Tata Motors"/>
    <s v="PV - ICE"/>
    <x v="7"/>
    <s v="Fearless+"/>
    <s v="Amit Sharma"/>
    <n v="1"/>
    <x v="5"/>
    <n v="1711966.3"/>
    <n v="0"/>
    <n v="0"/>
    <x v="10"/>
    <n v="0"/>
    <x v="10"/>
    <s v="Not achive"/>
  </r>
  <r>
    <n v="800310"/>
    <s v="08-04-2024"/>
    <x v="3"/>
    <s v="Rajasthan"/>
    <s v="Jodhpur"/>
    <s v="Online Booking"/>
    <s v="Metro Tata Motors"/>
    <s v="Tata Motors"/>
    <s v="PV - EV"/>
    <x v="8"/>
    <s v="Fearless"/>
    <s v="Sneha Kapoor"/>
    <n v="1"/>
    <x v="6"/>
    <n v="1457829.4"/>
    <n v="2"/>
    <n v="0"/>
    <x v="11"/>
    <n v="29156.59"/>
    <x v="11"/>
    <s v="Not achive"/>
  </r>
  <r>
    <n v="800450"/>
    <s v="08-04-2024"/>
    <x v="0"/>
    <s v="Odisha"/>
    <s v="Bhubaneswar"/>
    <s v="Company Showroom"/>
    <s v="Metro Tata Motors"/>
    <s v="Tata Motors"/>
    <s v="PV - ICE"/>
    <x v="3"/>
    <s v="Creative"/>
    <s v="Suresh Kumar"/>
    <n v="1"/>
    <x v="3"/>
    <n v="1175595.5900000001"/>
    <n v="0"/>
    <n v="0"/>
    <x v="12"/>
    <n v="0"/>
    <x v="12"/>
    <s v="Not achive"/>
  </r>
  <r>
    <n v="800097"/>
    <s v="09-04-2024"/>
    <x v="3"/>
    <s v="Rajasthan"/>
    <s v="Jodhpur"/>
    <s v="Company Showroom"/>
    <s v="Concorde Tata"/>
    <s v="Tata Motors"/>
    <s v="PV - ICE"/>
    <x v="7"/>
    <s v="Smart"/>
    <s v="Suresh Kumar"/>
    <n v="1"/>
    <x v="5"/>
    <n v="1679450.59"/>
    <n v="2"/>
    <n v="0"/>
    <x v="13"/>
    <n v="33589.01"/>
    <x v="13"/>
    <s v="Not achive"/>
  </r>
  <r>
    <n v="800131"/>
    <s v="09-04-2024"/>
    <x v="3"/>
    <s v="Gujarat"/>
    <s v="Vadodara"/>
    <s v="Authorized Dealer"/>
    <s v="Prerna Automobiles"/>
    <s v="Tata Motors"/>
    <s v="PV - EV"/>
    <x v="8"/>
    <s v="Empowered"/>
    <s v="Karan Mehta"/>
    <n v="2"/>
    <x v="6"/>
    <n v="1459710.54"/>
    <n v="12.5"/>
    <n v="0"/>
    <x v="14"/>
    <n v="364927.64"/>
    <x v="14"/>
    <s v="Achive"/>
  </r>
  <r>
    <n v="800516"/>
    <s v="09-04-2024"/>
    <x v="3"/>
    <s v="Gujarat"/>
    <s v="Surat"/>
    <s v="Authorized Dealer"/>
    <s v="Om Sai Auto Hub"/>
    <s v="Tata Motors"/>
    <s v="PV - ICE"/>
    <x v="7"/>
    <s v="Pure"/>
    <s v="Priya Nair"/>
    <n v="3"/>
    <x v="5"/>
    <n v="1731021.08"/>
    <n v="12.5"/>
    <n v="0"/>
    <x v="15"/>
    <n v="649132.91"/>
    <x v="15"/>
    <s v="Achive"/>
  </r>
  <r>
    <n v="800564"/>
    <s v="09-04-2024"/>
    <x v="3"/>
    <s v="Maharashtra"/>
    <s v="Nashik"/>
    <s v="Exchange Program"/>
    <s v="Sai Service Tata"/>
    <s v="Tata Motors"/>
    <s v="CV - Pickup"/>
    <x v="2"/>
    <s v="Base"/>
    <s v="Sneha Kapoor"/>
    <n v="4"/>
    <x v="2"/>
    <n v="812641.25"/>
    <n v="0"/>
    <n v="0"/>
    <x v="16"/>
    <n v="0"/>
    <x v="16"/>
    <s v="Achive"/>
  </r>
  <r>
    <n v="800272"/>
    <s v="11-04-2024"/>
    <x v="3"/>
    <s v="Rajasthan"/>
    <s v="Jaipur"/>
    <s v="Online Booking"/>
    <s v="Om Sai Auto Hub"/>
    <s v="Tata Motors"/>
    <s v="PV - EV"/>
    <x v="5"/>
    <s v="Smart"/>
    <s v="Priya Nair"/>
    <n v="1"/>
    <x v="3"/>
    <n v="1169415.44"/>
    <n v="2"/>
    <n v="0"/>
    <x v="17"/>
    <n v="23388.31"/>
    <x v="17"/>
    <s v="Not achive"/>
  </r>
  <r>
    <n v="800183"/>
    <s v="12-04-2024"/>
    <x v="0"/>
    <s v="Bihar"/>
    <s v="Patna"/>
    <s v="Corporate/Fleet Sale"/>
    <s v="Concorde Tata"/>
    <s v="Tata Motors"/>
    <s v="PV - ICE"/>
    <x v="4"/>
    <s v="XZ+"/>
    <s v="Sneha Kapoor"/>
    <n v="3"/>
    <x v="2"/>
    <n v="781093.88"/>
    <n v="2"/>
    <n v="0"/>
    <x v="18"/>
    <n v="46865.63"/>
    <x v="18"/>
    <s v="Achive"/>
  </r>
  <r>
    <n v="800313"/>
    <s v="12-04-2024"/>
    <x v="1"/>
    <s v="Telangana"/>
    <s v="Warangal"/>
    <s v="Company Showroom"/>
    <s v="Statesman Cars"/>
    <s v="Tata Motors"/>
    <s v="CV - Pickup"/>
    <x v="9"/>
    <s v="CX"/>
    <s v="Anjali Rao"/>
    <n v="2"/>
    <x v="7"/>
    <n v="981216.07"/>
    <n v="0"/>
    <n v="0"/>
    <x v="19"/>
    <n v="0"/>
    <x v="19"/>
    <s v="Not achive"/>
  </r>
  <r>
    <n v="800548"/>
    <s v="13-04-2024"/>
    <x v="3"/>
    <s v="Rajasthan"/>
    <s v="Jaipur"/>
    <s v="Corporate/Fleet Sale"/>
    <s v="Big Wheels Auto"/>
    <s v="Tata Motors"/>
    <s v="PV - ICE"/>
    <x v="4"/>
    <s v="XM"/>
    <s v="Priya Nair"/>
    <n v="3"/>
    <x v="2"/>
    <n v="815018.63"/>
    <n v="5"/>
    <n v="0"/>
    <x v="20"/>
    <n v="122252.79"/>
    <x v="20"/>
    <s v="Achive"/>
  </r>
  <r>
    <n v="800448"/>
    <s v="14-04-2024"/>
    <x v="2"/>
    <s v="Haryana"/>
    <s v="Panipat"/>
    <s v="Online Booking"/>
    <s v="Sunrise Tata Showroom"/>
    <s v="Tata Motors"/>
    <s v="PV - ICE"/>
    <x v="3"/>
    <s v="Accomplished"/>
    <s v="Rohit Verma"/>
    <n v="1"/>
    <x v="3"/>
    <n v="1210746.47"/>
    <n v="0"/>
    <n v="0"/>
    <x v="21"/>
    <n v="0"/>
    <x v="21"/>
    <s v="Not achive"/>
  </r>
  <r>
    <n v="800603"/>
    <s v="15-04-2024"/>
    <x v="3"/>
    <s v="Rajasthan"/>
    <s v="Jodhpur"/>
    <s v="Exchange Program"/>
    <s v="Concorde Tata"/>
    <s v="Tata Motors"/>
    <s v="PV - ICE"/>
    <x v="10"/>
    <s v="Creative"/>
    <s v="Karan Mehta"/>
    <n v="3"/>
    <x v="8"/>
    <n v="960137.83"/>
    <n v="7.5"/>
    <n v="0"/>
    <x v="22"/>
    <n v="216031.01"/>
    <x v="22"/>
    <s v="Achive"/>
  </r>
  <r>
    <n v="800001"/>
    <s v="17-04-2024"/>
    <x v="2"/>
    <s v="Delhi"/>
    <s v="Dwarka"/>
    <s v="Company Showroom"/>
    <s v="Prerna Automobiles"/>
    <s v="Tata Motors"/>
    <s v="PV - ICE"/>
    <x v="4"/>
    <s v="XZ+"/>
    <s v="Amit Sharma"/>
    <n v="3"/>
    <x v="2"/>
    <n v="805626.71"/>
    <n v="0"/>
    <n v="0"/>
    <x v="23"/>
    <n v="0"/>
    <x v="23"/>
    <s v="Achive"/>
  </r>
  <r>
    <n v="800421"/>
    <s v="17-04-2024"/>
    <x v="0"/>
    <s v="Odisha"/>
    <s v="Bhubaneswar"/>
    <s v="Authorized Dealer"/>
    <s v="Concorde Tata"/>
    <s v="Tata Motors"/>
    <s v="PV - EV"/>
    <x v="11"/>
    <s v="Empowered"/>
    <s v="Amit Sharma"/>
    <n v="1"/>
    <x v="9"/>
    <n v="1821167.4"/>
    <n v="0"/>
    <n v="0"/>
    <x v="24"/>
    <n v="0"/>
    <x v="24"/>
    <s v="Not achive"/>
  </r>
  <r>
    <n v="800078"/>
    <s v="19-04-2024"/>
    <x v="0"/>
    <s v="Bihar"/>
    <s v="Gaya"/>
    <s v="Online Booking"/>
    <s v="Sai Service Tata"/>
    <s v="Tata Motors"/>
    <s v="CV - Pickup"/>
    <x v="9"/>
    <s v="CX"/>
    <s v="Sneha Kapoor"/>
    <n v="6"/>
    <x v="7"/>
    <n v="1009619.68"/>
    <n v="0"/>
    <n v="0"/>
    <x v="25"/>
    <n v="0"/>
    <x v="25"/>
    <s v="Achive"/>
  </r>
  <r>
    <n v="800474"/>
    <s v="19-04-2024"/>
    <x v="3"/>
    <s v="Gujarat"/>
    <s v="Surat"/>
    <s v="Exchange Program"/>
    <s v="Sunrise Tata Showroom"/>
    <s v="Tata Motors"/>
    <s v="CV - SCV"/>
    <x v="1"/>
    <s v="CNG"/>
    <s v="Suresh Kumar"/>
    <n v="1"/>
    <x v="1"/>
    <n v="556108.81000000006"/>
    <n v="0"/>
    <n v="0"/>
    <x v="26"/>
    <n v="0"/>
    <x v="26"/>
    <s v="Not achive"/>
  </r>
  <r>
    <n v="800170"/>
    <s v="20-04-2024"/>
    <x v="0"/>
    <s v="Odisha"/>
    <s v="Cuttack"/>
    <s v="Corporate/Fleet Sale"/>
    <s v="Big Wheels Auto"/>
    <s v="Tata Motors"/>
    <s v="PV - EV"/>
    <x v="5"/>
    <s v="Empowered"/>
    <s v="Anjali Rao"/>
    <n v="1"/>
    <x v="3"/>
    <n v="1203137.92"/>
    <n v="2"/>
    <n v="0"/>
    <x v="27"/>
    <n v="24062.76"/>
    <x v="27"/>
    <s v="Not achive"/>
  </r>
  <r>
    <n v="800023"/>
    <s v="21-04-2024"/>
    <x v="2"/>
    <s v="Uttar Pradesh"/>
    <s v="Lucknow"/>
    <s v="Exchange Program"/>
    <s v="Concorde Tata"/>
    <s v="Tata Motors"/>
    <s v="PV - ICE"/>
    <x v="7"/>
    <s v="Smart"/>
    <s v="Sneha Kapoor"/>
    <n v="1"/>
    <x v="5"/>
    <n v="1729035.67"/>
    <n v="2"/>
    <n v="0"/>
    <x v="28"/>
    <n v="34580.71"/>
    <x v="28"/>
    <s v="Not achive"/>
  </r>
  <r>
    <n v="800111"/>
    <s v="22-04-2024"/>
    <x v="2"/>
    <s v="Punjab"/>
    <s v="Jalandhar"/>
    <s v="Online Booking"/>
    <s v="Statesman Cars"/>
    <s v="Tata Motors"/>
    <s v="PV - ICE"/>
    <x v="4"/>
    <s v="XM"/>
    <s v="Divya Pillai"/>
    <n v="3"/>
    <x v="2"/>
    <n v="785204.43"/>
    <n v="7.5"/>
    <n v="0"/>
    <x v="29"/>
    <n v="176671"/>
    <x v="29"/>
    <s v="Achive"/>
  </r>
  <r>
    <n v="800135"/>
    <s v="22-04-2024"/>
    <x v="0"/>
    <s v="Odisha"/>
    <s v="Bhubaneswar"/>
    <s v="Company Showroom"/>
    <s v="Statesman Cars"/>
    <s v="Tata Motors"/>
    <s v="PV - ICE"/>
    <x v="0"/>
    <s v="XZ+"/>
    <s v="Priya Nair"/>
    <n v="1"/>
    <x v="0"/>
    <n v="738504.1"/>
    <n v="0"/>
    <n v="0"/>
    <x v="30"/>
    <n v="0"/>
    <x v="30"/>
    <s v="Not achive"/>
  </r>
  <r>
    <n v="800124"/>
    <s v="23-04-2024"/>
    <x v="2"/>
    <s v="Delhi"/>
    <s v="Dwarka"/>
    <s v="Exchange Program"/>
    <s v="Statesman Cars"/>
    <s v="Tata Motors"/>
    <s v="PV - EV"/>
    <x v="12"/>
    <s v="XZ+"/>
    <s v="Suresh Kumar"/>
    <n v="1"/>
    <x v="10"/>
    <n v="1223802.8700000001"/>
    <n v="0"/>
    <n v="0"/>
    <x v="31"/>
    <n v="0"/>
    <x v="31"/>
    <s v="Not achive"/>
  </r>
  <r>
    <n v="800185"/>
    <s v="23-04-2024"/>
    <x v="2"/>
    <s v="Punjab"/>
    <s v="Jalandhar"/>
    <s v="Authorized Dealer"/>
    <s v="Prerna Automobiles"/>
    <s v="Tata Motors"/>
    <s v="PV - ICE"/>
    <x v="6"/>
    <s v="Pure"/>
    <s v="Amit Sharma"/>
    <n v="3"/>
    <x v="4"/>
    <n v="680175.17"/>
    <n v="0"/>
    <n v="0"/>
    <x v="32"/>
    <n v="0"/>
    <x v="32"/>
    <s v="Achive"/>
  </r>
  <r>
    <n v="800285"/>
    <s v="23-04-2024"/>
    <x v="0"/>
    <s v="West Bengal"/>
    <s v="Howrah"/>
    <s v="Authorized Dealer"/>
    <s v="Reliance Trishakti"/>
    <s v="Tata Motors"/>
    <s v="PV - EV"/>
    <x v="11"/>
    <s v="Accomplished"/>
    <s v="Suresh Kumar"/>
    <n v="2"/>
    <x v="9"/>
    <n v="1825694.34"/>
    <n v="7.5"/>
    <n v="0"/>
    <x v="33"/>
    <n v="273854.15000000002"/>
    <x v="33"/>
    <s v="Achive"/>
  </r>
  <r>
    <n v="800278"/>
    <s v="25-04-2024"/>
    <x v="1"/>
    <s v="Telangana"/>
    <s v="Hyderabad"/>
    <s v="Corporate/Fleet Sale"/>
    <s v="Prerna Automobiles"/>
    <s v="Tata Motors"/>
    <s v="PV - ICE"/>
    <x v="6"/>
    <s v="Creative+"/>
    <s v="Amit Sharma"/>
    <n v="2"/>
    <x v="4"/>
    <n v="687983.03"/>
    <n v="0"/>
    <n v="0"/>
    <x v="34"/>
    <n v="0"/>
    <x v="34"/>
    <s v="Not achive"/>
  </r>
  <r>
    <n v="800262"/>
    <s v="26-04-2024"/>
    <x v="3"/>
    <s v="Rajasthan"/>
    <s v="Jodhpur"/>
    <s v="Exchange Program"/>
    <s v="Landmark Motors"/>
    <s v="Tata Motors"/>
    <s v="PV - ICE"/>
    <x v="6"/>
    <s v="Adventure"/>
    <s v="Suresh Kumar"/>
    <n v="1"/>
    <x v="4"/>
    <n v="703890.51"/>
    <n v="7.5"/>
    <n v="0"/>
    <x v="35"/>
    <n v="52791.79"/>
    <x v="35"/>
    <s v="Not achive"/>
  </r>
  <r>
    <n v="800434"/>
    <s v="26-04-2024"/>
    <x v="0"/>
    <s v="West Bengal"/>
    <s v="Kolkata"/>
    <s v="Company Showroom"/>
    <s v="Metro Tata Motors"/>
    <s v="Tata Motors"/>
    <s v="PV - EV"/>
    <x v="5"/>
    <s v="Adventure"/>
    <s v="Suresh Kumar"/>
    <n v="1"/>
    <x v="3"/>
    <n v="1184170.0900000001"/>
    <n v="12.5"/>
    <n v="0"/>
    <x v="36"/>
    <n v="148021.26"/>
    <x v="36"/>
    <s v="Not achive"/>
  </r>
  <r>
    <n v="800168"/>
    <s v="27-04-2024"/>
    <x v="1"/>
    <s v="Kerala"/>
    <s v="Kochi"/>
    <s v="Authorized Dealer"/>
    <s v="National Tata Dealership"/>
    <s v="Tata Motors"/>
    <s v="PV - ICE"/>
    <x v="13"/>
    <s v="Accomplished+"/>
    <s v="Vikas Yadav"/>
    <n v="1"/>
    <x v="11"/>
    <n v="1847822.72"/>
    <n v="2"/>
    <n v="0"/>
    <x v="37"/>
    <n v="36956.449999999997"/>
    <x v="37"/>
    <s v="Not achive"/>
  </r>
  <r>
    <n v="800527"/>
    <s v="27-04-2024"/>
    <x v="2"/>
    <s v="Delhi"/>
    <s v="Dwarka"/>
    <s v="Corporate/Fleet Sale"/>
    <s v="Prerna Automobiles"/>
    <s v="Tata Motors"/>
    <s v="PV - EV"/>
    <x v="8"/>
    <s v="Fearless"/>
    <s v="Neha Singh"/>
    <n v="3"/>
    <x v="6"/>
    <n v="1515386.53"/>
    <n v="12.5"/>
    <n v="1"/>
    <x v="38"/>
    <n v="568269.94999999995"/>
    <x v="38"/>
    <s v="Achive"/>
  </r>
  <r>
    <n v="800339"/>
    <s v="28-04-2024"/>
    <x v="3"/>
    <s v="Rajasthan"/>
    <s v="Jodhpur"/>
    <s v="Company Showroom"/>
    <s v="Om Sai Auto Hub"/>
    <s v="Tata Motors"/>
    <s v="CV - SCV"/>
    <x v="1"/>
    <s v="CNG"/>
    <s v="Anjali Rao"/>
    <n v="4"/>
    <x v="1"/>
    <n v="544157.75"/>
    <n v="7.5"/>
    <n v="0"/>
    <x v="39"/>
    <n v="163247.32999999999"/>
    <x v="39"/>
    <s v="Achive"/>
  </r>
  <r>
    <n v="800621"/>
    <s v="29-04-2024"/>
    <x v="1"/>
    <s v="Tamil Nadu"/>
    <s v="Coimbatore"/>
    <s v="Corporate/Fleet Sale"/>
    <s v="Sai Service Tata"/>
    <s v="Tata Motors"/>
    <s v="PV - ICE"/>
    <x v="13"/>
    <s v="Accomplished+"/>
    <s v="Suresh Kumar"/>
    <n v="1"/>
    <x v="11"/>
    <n v="1925011.49"/>
    <n v="5"/>
    <n v="0"/>
    <x v="40"/>
    <n v="96250.57"/>
    <x v="40"/>
    <s v="Not achive"/>
  </r>
  <r>
    <n v="800181"/>
    <s v="01-05-2024"/>
    <x v="2"/>
    <s v="Punjab"/>
    <s v="Ludhiana"/>
    <s v="Authorized Dealer"/>
    <s v="Sai Service Tata"/>
    <s v="Tata Motors"/>
    <s v="PV - ICE"/>
    <x v="6"/>
    <s v="Creative+"/>
    <s v="Amit Sharma"/>
    <n v="1"/>
    <x v="4"/>
    <n v="693829.41"/>
    <n v="0"/>
    <n v="0"/>
    <x v="41"/>
    <n v="0"/>
    <x v="41"/>
    <s v="Not achive"/>
  </r>
  <r>
    <n v="800257"/>
    <s v="01-05-2024"/>
    <x v="1"/>
    <s v="Tamil Nadu"/>
    <s v="Coimbatore"/>
    <s v="Authorized Dealer"/>
    <s v="Reliance Trishakti"/>
    <s v="Tata Motors"/>
    <s v="PV - EV"/>
    <x v="8"/>
    <s v="Empowered"/>
    <s v="Rohit Verma"/>
    <n v="1"/>
    <x v="6"/>
    <n v="1470389.58"/>
    <n v="2"/>
    <n v="0"/>
    <x v="42"/>
    <n v="29407.79"/>
    <x v="42"/>
    <s v="Not achive"/>
  </r>
  <r>
    <n v="800163"/>
    <s v="02-05-2024"/>
    <x v="2"/>
    <s v="Uttar Pradesh"/>
    <s v="Lucknow"/>
    <s v="Online Booking"/>
    <s v="Big Wheels Auto"/>
    <s v="Tata Motors"/>
    <s v="PV - EV"/>
    <x v="8"/>
    <s v="Creative"/>
    <s v="Sneha Kapoor"/>
    <n v="3"/>
    <x v="6"/>
    <n v="1470291.88"/>
    <n v="12.5"/>
    <n v="0"/>
    <x v="43"/>
    <n v="551359.44999999995"/>
    <x v="43"/>
    <s v="Achive"/>
  </r>
  <r>
    <n v="800488"/>
    <s v="02-05-2024"/>
    <x v="1"/>
    <s v="Kerala"/>
    <s v="Thiruvananthapuram"/>
    <s v="Corporate/Fleet Sale"/>
    <s v="Concorde Tata"/>
    <s v="Tata Motors"/>
    <s v="PV - EV"/>
    <x v="12"/>
    <s v="XE"/>
    <s v="Karan Mehta"/>
    <n v="3"/>
    <x v="10"/>
    <n v="1237762.3400000001"/>
    <n v="0"/>
    <n v="0"/>
    <x v="44"/>
    <n v="0"/>
    <x v="44"/>
    <s v="Achive"/>
  </r>
  <r>
    <n v="800635"/>
    <s v="02-05-2024"/>
    <x v="2"/>
    <s v="Punjab"/>
    <s v="Ludhiana"/>
    <s v="Online Booking"/>
    <s v="Sai Service Tata"/>
    <s v="Tata Motors"/>
    <s v="PV - EV"/>
    <x v="12"/>
    <s v="XZ+"/>
    <s v="Anjali Rao"/>
    <n v="2"/>
    <x v="10"/>
    <n v="1237480.02"/>
    <n v="12.5"/>
    <n v="0"/>
    <x v="45"/>
    <n v="309370.01"/>
    <x v="45"/>
    <s v="Achive"/>
  </r>
  <r>
    <n v="800133"/>
    <s v="05-05-2024"/>
    <x v="1"/>
    <s v="Tamil Nadu"/>
    <s v="Chennai"/>
    <s v="Online Booking"/>
    <s v="Capital Cars"/>
    <s v="Tata Motors"/>
    <s v="PV - ICE"/>
    <x v="14"/>
    <s v="XZ+"/>
    <s v="Sneha Kapoor"/>
    <n v="2"/>
    <x v="12"/>
    <n v="638743.63"/>
    <n v="0"/>
    <n v="0"/>
    <x v="46"/>
    <n v="0"/>
    <x v="46"/>
    <s v="Not achive"/>
  </r>
  <r>
    <n v="800140"/>
    <s v="05-05-2024"/>
    <x v="1"/>
    <s v="Tamil Nadu"/>
    <s v="Chennai"/>
    <s v="Online Booking"/>
    <s v="Big Wheels Auto"/>
    <s v="Tata Motors"/>
    <s v="PV - EV"/>
    <x v="11"/>
    <s v="Empowered"/>
    <s v="Suresh Kumar"/>
    <n v="1"/>
    <x v="9"/>
    <n v="1758850.15"/>
    <n v="12.5"/>
    <n v="0"/>
    <x v="47"/>
    <n v="219856.27"/>
    <x v="47"/>
    <s v="Not achive"/>
  </r>
  <r>
    <n v="800467"/>
    <s v="05-05-2024"/>
    <x v="0"/>
    <s v="Bihar"/>
    <s v="Gaya"/>
    <s v="Corporate/Fleet Sale"/>
    <s v="Om Sai Auto Hub"/>
    <s v="Tata Motors"/>
    <s v="CV - SCV"/>
    <x v="1"/>
    <s v="Base"/>
    <s v="Anjali Rao"/>
    <n v="6"/>
    <x v="1"/>
    <n v="539032.65"/>
    <n v="5"/>
    <n v="0"/>
    <x v="48"/>
    <n v="161709.79999999999"/>
    <x v="48"/>
    <s v="Achive"/>
  </r>
  <r>
    <n v="800558"/>
    <s v="05-05-2024"/>
    <x v="0"/>
    <s v="Bihar"/>
    <s v="Gaya"/>
    <s v="Online Booking"/>
    <s v="Statesman Cars"/>
    <s v="Tata Motors"/>
    <s v="PV - ICE"/>
    <x v="3"/>
    <s v="Accomplished"/>
    <s v="Vikas Yadav"/>
    <n v="1"/>
    <x v="3"/>
    <n v="1171161.28"/>
    <n v="5"/>
    <n v="0"/>
    <x v="49"/>
    <n v="58558.06"/>
    <x v="49"/>
    <s v="Not achive"/>
  </r>
  <r>
    <n v="800569"/>
    <s v="05-05-2024"/>
    <x v="2"/>
    <s v="Delhi"/>
    <s v="New Delhi"/>
    <s v="Corporate/Fleet Sale"/>
    <s v="National Tata Dealership"/>
    <s v="Tata Motors"/>
    <s v="PV - ICE"/>
    <x v="10"/>
    <s v="Creative"/>
    <s v="Suresh Kumar"/>
    <n v="3"/>
    <x v="8"/>
    <n v="958588.1"/>
    <n v="2"/>
    <n v="0"/>
    <x v="50"/>
    <n v="57515.29"/>
    <x v="50"/>
    <s v="Achive"/>
  </r>
  <r>
    <n v="800035"/>
    <s v="06-05-2024"/>
    <x v="0"/>
    <s v="Odisha"/>
    <s v="Cuttack"/>
    <s v="Online Booking"/>
    <s v="National Tata Dealership"/>
    <s v="Tata Motors"/>
    <s v="PV - ICE"/>
    <x v="6"/>
    <s v="Adventure"/>
    <s v="Anjali Rao"/>
    <n v="3"/>
    <x v="4"/>
    <n v="694262.01"/>
    <n v="2"/>
    <n v="0"/>
    <x v="51"/>
    <n v="41655.72"/>
    <x v="51"/>
    <s v="Achive"/>
  </r>
  <r>
    <n v="800016"/>
    <s v="07-05-2024"/>
    <x v="2"/>
    <s v="Uttar Pradesh"/>
    <s v="Kanpur"/>
    <s v="Authorized Dealer"/>
    <s v="Concorde Tata"/>
    <s v="Tata Motors"/>
    <s v="PV - ICE"/>
    <x v="13"/>
    <s v="Accomplished+"/>
    <s v="Anjali Rao"/>
    <n v="1"/>
    <x v="11"/>
    <n v="1849403.03"/>
    <n v="0"/>
    <n v="0"/>
    <x v="52"/>
    <n v="0"/>
    <x v="52"/>
    <s v="Not achive"/>
  </r>
  <r>
    <n v="800510"/>
    <s v="07-05-2024"/>
    <x v="0"/>
    <s v="Bihar"/>
    <s v="Patna"/>
    <s v="Exchange Program"/>
    <s v="Metro Tata Motors"/>
    <s v="Tata Motors"/>
    <s v="PV - ICE"/>
    <x v="6"/>
    <s v="Creative+"/>
    <s v="Amit Sharma"/>
    <n v="2"/>
    <x v="4"/>
    <n v="704039.01"/>
    <n v="0"/>
    <n v="1"/>
    <x v="53"/>
    <n v="0"/>
    <x v="53"/>
    <s v="Not achive"/>
  </r>
  <r>
    <n v="800039"/>
    <s v="08-05-2024"/>
    <x v="1"/>
    <s v="Tamil Nadu"/>
    <s v="Chennai"/>
    <s v="Corporate/Fleet Sale"/>
    <s v="Prerna Automobiles"/>
    <s v="Tata Motors"/>
    <s v="CV - SCV"/>
    <x v="1"/>
    <s v="Base"/>
    <s v="Suresh Kumar"/>
    <n v="1"/>
    <x v="1"/>
    <n v="534770.88"/>
    <n v="12.5"/>
    <n v="0"/>
    <x v="54"/>
    <n v="66846.36"/>
    <x v="54"/>
    <s v="Not achive"/>
  </r>
  <r>
    <n v="800146"/>
    <s v="08-05-2024"/>
    <x v="3"/>
    <s v="Rajasthan"/>
    <s v="Jaipur"/>
    <s v="Authorized Dealer"/>
    <s v="Sunrise Tata Showroom"/>
    <s v="Tata Motors"/>
    <s v="PV - EV"/>
    <x v="8"/>
    <s v="Empowered"/>
    <s v="Priya Nair"/>
    <n v="3"/>
    <x v="6"/>
    <n v="1485809.63"/>
    <n v="10"/>
    <n v="0"/>
    <x v="55"/>
    <n v="445742.89"/>
    <x v="55"/>
    <s v="Achive"/>
  </r>
  <r>
    <n v="800019"/>
    <s v="09-05-2024"/>
    <x v="2"/>
    <s v="Uttar Pradesh"/>
    <s v="Kanpur"/>
    <s v="Company Showroom"/>
    <s v="Om Sai Auto Hub"/>
    <s v="Tata Motors"/>
    <s v="PV - ICE"/>
    <x v="3"/>
    <s v="Smart"/>
    <s v="Sneha Kapoor"/>
    <n v="1"/>
    <x v="3"/>
    <n v="1180712.71"/>
    <n v="2"/>
    <n v="0"/>
    <x v="56"/>
    <n v="23614.25"/>
    <x v="56"/>
    <s v="Not achive"/>
  </r>
  <r>
    <n v="800196"/>
    <s v="09-05-2024"/>
    <x v="0"/>
    <s v="West Bengal"/>
    <s v="Kolkata"/>
    <s v="Corporate/Fleet Sale"/>
    <s v="Statesman Cars"/>
    <s v="Tata Motors"/>
    <s v="PV - ICE"/>
    <x v="4"/>
    <s v="XZ+"/>
    <s v="Divya Pillai"/>
    <n v="2"/>
    <x v="2"/>
    <n v="783361.91"/>
    <n v="0"/>
    <n v="0"/>
    <x v="57"/>
    <n v="0"/>
    <x v="57"/>
    <s v="Not achive"/>
  </r>
  <r>
    <n v="800117"/>
    <s v="10-05-2024"/>
    <x v="1"/>
    <s v="Kerala"/>
    <s v="Kochi"/>
    <s v="Corporate/Fleet Sale"/>
    <s v="Om Sai Auto Hub"/>
    <s v="Tata Motors"/>
    <s v="PV - ICE"/>
    <x v="0"/>
    <s v="XZ"/>
    <s v="Priya Nair"/>
    <n v="2"/>
    <x v="0"/>
    <n v="728910.27"/>
    <n v="7.5"/>
    <n v="0"/>
    <x v="58"/>
    <n v="109336.54"/>
    <x v="58"/>
    <s v="Not achive"/>
  </r>
  <r>
    <n v="800141"/>
    <s v="10-05-2024"/>
    <x v="3"/>
    <s v="Rajasthan"/>
    <s v="Jodhpur"/>
    <s v="Corporate/Fleet Sale"/>
    <s v="Metro Tata Motors"/>
    <s v="Tata Motors"/>
    <s v="PV - EV"/>
    <x v="12"/>
    <s v="XE"/>
    <s v="Karan Mehta"/>
    <n v="1"/>
    <x v="10"/>
    <n v="1254941.3799999999"/>
    <n v="7.5"/>
    <n v="0"/>
    <x v="59"/>
    <n v="94120.6"/>
    <x v="59"/>
    <s v="Not achive"/>
  </r>
  <r>
    <n v="800542"/>
    <s v="10-05-2024"/>
    <x v="1"/>
    <s v="Telangana"/>
    <s v="Warangal"/>
    <s v="Authorized Dealer"/>
    <s v="Prerna Automobiles"/>
    <s v="Tata Motors"/>
    <s v="CV - Pickup"/>
    <x v="9"/>
    <s v="CX"/>
    <s v="Amit Sharma"/>
    <n v="1"/>
    <x v="7"/>
    <n v="989534.13"/>
    <n v="0"/>
    <n v="0"/>
    <x v="60"/>
    <n v="0"/>
    <x v="60"/>
    <s v="Not achive"/>
  </r>
  <r>
    <n v="800388"/>
    <s v="11-05-2024"/>
    <x v="3"/>
    <s v="Rajasthan"/>
    <s v="Jaipur"/>
    <s v="Corporate/Fleet Sale"/>
    <s v="Prerna Automobiles"/>
    <s v="Tata Motors"/>
    <s v="PV - ICE"/>
    <x v="6"/>
    <s v="Pure"/>
    <s v="Vikas Yadav"/>
    <n v="3"/>
    <x v="4"/>
    <n v="691460.96"/>
    <n v="0"/>
    <n v="0"/>
    <x v="61"/>
    <n v="0"/>
    <x v="61"/>
    <s v="Achive"/>
  </r>
  <r>
    <n v="800043"/>
    <s v="12-05-2024"/>
    <x v="0"/>
    <s v="Odisha"/>
    <s v="Cuttack"/>
    <s v="Corporate/Fleet Sale"/>
    <s v="Capital Cars"/>
    <s v="Tata Motors"/>
    <s v="PV - ICE"/>
    <x v="0"/>
    <s v="XZ+"/>
    <s v="Rohit Verma"/>
    <n v="1"/>
    <x v="0"/>
    <n v="737689.32"/>
    <n v="7.5"/>
    <n v="0"/>
    <x v="62"/>
    <n v="55326.7"/>
    <x v="62"/>
    <s v="Not achive"/>
  </r>
  <r>
    <n v="800128"/>
    <s v="12-05-2024"/>
    <x v="3"/>
    <s v="Gujarat"/>
    <s v="Vadodara"/>
    <s v="Company Showroom"/>
    <s v="Capital Cars"/>
    <s v="Tata Motors"/>
    <s v="CV - Pickup"/>
    <x v="9"/>
    <s v="CX"/>
    <s v="Anjali Rao"/>
    <n v="4"/>
    <x v="7"/>
    <n v="972662.84"/>
    <n v="7.5"/>
    <n v="0"/>
    <x v="63"/>
    <n v="291798.84999999998"/>
    <x v="63"/>
    <s v="Achive"/>
  </r>
  <r>
    <n v="800358"/>
    <s v="12-05-2024"/>
    <x v="3"/>
    <s v="Rajasthan"/>
    <s v="Jodhpur"/>
    <s v="Online Booking"/>
    <s v="Capital Cars"/>
    <s v="Tata Motors"/>
    <s v="PV - ICE"/>
    <x v="3"/>
    <s v="Creative"/>
    <s v="Rohit Verma"/>
    <n v="2"/>
    <x v="3"/>
    <n v="1197100.31"/>
    <n v="0"/>
    <n v="0"/>
    <x v="64"/>
    <n v="0"/>
    <x v="64"/>
    <s v="Achive"/>
  </r>
  <r>
    <n v="800522"/>
    <s v="12-05-2024"/>
    <x v="3"/>
    <s v="Gujarat"/>
    <s v="Vadodara"/>
    <s v="Exchange Program"/>
    <s v="Landmark Motors"/>
    <s v="Tata Motors"/>
    <s v="PV - ICE"/>
    <x v="4"/>
    <s v="XE"/>
    <s v="Karan Mehta"/>
    <n v="2"/>
    <x v="2"/>
    <n v="807106.47"/>
    <n v="0"/>
    <n v="0"/>
    <x v="65"/>
    <n v="0"/>
    <x v="65"/>
    <s v="Not achive"/>
  </r>
  <r>
    <n v="800551"/>
    <s v="13-05-2024"/>
    <x v="3"/>
    <s v="Gujarat"/>
    <s v="Surat"/>
    <s v="Authorized Dealer"/>
    <s v="Big Wheels Auto"/>
    <s v="Tata Motors"/>
    <s v="PV - ICE"/>
    <x v="14"/>
    <s v="XZ+"/>
    <s v="Vikas Yadav"/>
    <n v="3"/>
    <x v="12"/>
    <n v="647609.1"/>
    <n v="5"/>
    <n v="0"/>
    <x v="66"/>
    <n v="97141.37"/>
    <x v="66"/>
    <s v="Not achive"/>
  </r>
  <r>
    <n v="800132"/>
    <s v="14-05-2024"/>
    <x v="3"/>
    <s v="Rajasthan"/>
    <s v="Jaipur"/>
    <s v="Corporate/Fleet Sale"/>
    <s v="Metro Tata Motors"/>
    <s v="Tata Motors"/>
    <s v="PV - ICE"/>
    <x v="14"/>
    <s v="XZ+"/>
    <s v="Neha Singh"/>
    <n v="1"/>
    <x v="12"/>
    <n v="649046.56999999995"/>
    <n v="0"/>
    <n v="0"/>
    <x v="67"/>
    <n v="0"/>
    <x v="67"/>
    <s v="Not achive"/>
  </r>
  <r>
    <n v="800258"/>
    <s v="14-05-2024"/>
    <x v="3"/>
    <s v="Rajasthan"/>
    <s v="Jodhpur"/>
    <s v="Authorized Dealer"/>
    <s v="Landmark Motors"/>
    <s v="Tata Motors"/>
    <s v="CV - Pickup"/>
    <x v="9"/>
    <s v="Base"/>
    <s v="Divya Pillai"/>
    <n v="4"/>
    <x v="7"/>
    <n v="1005042.35"/>
    <n v="7.5"/>
    <n v="0"/>
    <x v="68"/>
    <n v="301512.71000000002"/>
    <x v="68"/>
    <s v="Achive"/>
  </r>
  <r>
    <n v="800248"/>
    <s v="15-05-2024"/>
    <x v="3"/>
    <s v="Maharashtra"/>
    <s v="Nashik"/>
    <s v="Corporate/Fleet Sale"/>
    <s v="Metro Tata Motors"/>
    <s v="Tata Motors"/>
    <s v="PV - EV"/>
    <x v="12"/>
    <s v="XE"/>
    <s v="Rohit Verma"/>
    <n v="3"/>
    <x v="10"/>
    <n v="1239842.8799999999"/>
    <n v="2"/>
    <n v="0"/>
    <x v="69"/>
    <n v="74390.570000000007"/>
    <x v="69"/>
    <s v="Achive"/>
  </r>
  <r>
    <n v="800553"/>
    <s v="15-05-2024"/>
    <x v="0"/>
    <s v="Bihar"/>
    <s v="Gaya"/>
    <s v="Corporate/Fleet Sale"/>
    <s v="Metro Tata Motors"/>
    <s v="Tata Motors"/>
    <s v="PV - ICE"/>
    <x v="10"/>
    <s v="Smart"/>
    <s v="Rohit Verma"/>
    <n v="2"/>
    <x v="8"/>
    <n v="938189.36"/>
    <n v="12.5"/>
    <n v="0"/>
    <x v="70"/>
    <n v="234547.34"/>
    <x v="70"/>
    <s v="Not achive"/>
  </r>
  <r>
    <n v="800631"/>
    <s v="15-05-2024"/>
    <x v="0"/>
    <s v="West Bengal"/>
    <s v="Howrah"/>
    <s v="Exchange Program"/>
    <s v="Sai Service Tata"/>
    <s v="Tata Motors"/>
    <s v="PV - ICE"/>
    <x v="3"/>
    <s v="Creative"/>
    <s v="Karan Mehta"/>
    <n v="3"/>
    <x v="3"/>
    <n v="1185643.73"/>
    <n v="10"/>
    <n v="0"/>
    <x v="71"/>
    <n v="355693.12"/>
    <x v="71"/>
    <s v="Achive"/>
  </r>
  <r>
    <n v="800638"/>
    <s v="15-05-2024"/>
    <x v="0"/>
    <s v="Bihar"/>
    <s v="Gaya"/>
    <s v="Online Booking"/>
    <s v="Metro Tata Motors"/>
    <s v="Tata Motors"/>
    <s v="CV - Pickup"/>
    <x v="2"/>
    <s v="AC Cabin"/>
    <s v="Priya Nair"/>
    <n v="2"/>
    <x v="2"/>
    <n v="800873.7"/>
    <n v="5"/>
    <n v="0"/>
    <x v="72"/>
    <n v="80087.37"/>
    <x v="72"/>
    <s v="Not achive"/>
  </r>
  <r>
    <n v="800277"/>
    <s v="16-05-2024"/>
    <x v="3"/>
    <s v="Rajasthan"/>
    <s v="Jaipur"/>
    <s v="Online Booking"/>
    <s v="Statesman Cars"/>
    <s v="Tata Motors"/>
    <s v="PV - ICE"/>
    <x v="10"/>
    <s v="Fearless+"/>
    <s v="Amit Sharma"/>
    <n v="1"/>
    <x v="8"/>
    <n v="937973.48"/>
    <n v="7.5"/>
    <n v="0"/>
    <x v="73"/>
    <n v="70348.009999999995"/>
    <x v="73"/>
    <s v="Not achive"/>
  </r>
  <r>
    <n v="800294"/>
    <s v="16-05-2024"/>
    <x v="1"/>
    <s v="Kerala"/>
    <s v="Thiruvananthapuram"/>
    <s v="Authorized Dealer"/>
    <s v="Prerna Automobiles"/>
    <s v="Tata Motors"/>
    <s v="PV - ICE"/>
    <x v="4"/>
    <s v="XM"/>
    <s v="Priya Nair"/>
    <n v="2"/>
    <x v="2"/>
    <n v="786776.8"/>
    <n v="10"/>
    <n v="0"/>
    <x v="74"/>
    <n v="157355.35999999999"/>
    <x v="74"/>
    <s v="Not achive"/>
  </r>
  <r>
    <n v="800309"/>
    <s v="16-05-2024"/>
    <x v="1"/>
    <s v="Karnataka"/>
    <s v="Mysuru"/>
    <s v="Authorized Dealer"/>
    <s v="Landmark Motors"/>
    <s v="Tata Motors"/>
    <s v="PV - ICE"/>
    <x v="3"/>
    <s v="Creative"/>
    <s v="Vikas Yadav"/>
    <n v="1"/>
    <x v="3"/>
    <n v="1198576.73"/>
    <n v="0"/>
    <n v="0"/>
    <x v="75"/>
    <n v="0"/>
    <x v="75"/>
    <s v="Not achive"/>
  </r>
  <r>
    <n v="800404"/>
    <s v="16-05-2024"/>
    <x v="3"/>
    <s v="Rajasthan"/>
    <s v="Jodhpur"/>
    <s v="Exchange Program"/>
    <s v="Metro Tata Motors"/>
    <s v="Tata Motors"/>
    <s v="PV - EV"/>
    <x v="11"/>
    <s v="Empowered"/>
    <s v="Divya Pillai"/>
    <n v="2"/>
    <x v="9"/>
    <n v="1827803.08"/>
    <n v="12.5"/>
    <n v="0"/>
    <x v="76"/>
    <n v="456950.77"/>
    <x v="76"/>
    <s v="Achive"/>
  </r>
  <r>
    <n v="800238"/>
    <s v="17-05-2024"/>
    <x v="1"/>
    <s v="Tamil Nadu"/>
    <s v="Coimbatore"/>
    <s v="Company Showroom"/>
    <s v="Landmark Motors"/>
    <s v="Tata Motors"/>
    <s v="PV - EV"/>
    <x v="8"/>
    <s v="Empowered"/>
    <s v="Rohit Verma"/>
    <n v="3"/>
    <x v="6"/>
    <n v="1507458.1"/>
    <n v="2"/>
    <n v="0"/>
    <x v="77"/>
    <n v="90447.49"/>
    <x v="77"/>
    <s v="Achive"/>
  </r>
  <r>
    <n v="800261"/>
    <s v="17-05-2024"/>
    <x v="0"/>
    <s v="West Bengal"/>
    <s v="Howrah"/>
    <s v="Online Booking"/>
    <s v="Concorde Tata"/>
    <s v="Tata Motors"/>
    <s v="PV - EV"/>
    <x v="11"/>
    <s v="Accomplished"/>
    <s v="Vikas Yadav"/>
    <n v="2"/>
    <x v="9"/>
    <n v="1773747.69"/>
    <n v="5"/>
    <n v="0"/>
    <x v="78"/>
    <n v="177374.77"/>
    <x v="78"/>
    <s v="Achive"/>
  </r>
  <r>
    <n v="800596"/>
    <s v="17-05-2024"/>
    <x v="1"/>
    <s v="Tamil Nadu"/>
    <s v="Coimbatore"/>
    <s v="Company Showroom"/>
    <s v="Prerna Automobiles"/>
    <s v="Tata Motors"/>
    <s v="PV - ICE"/>
    <x v="0"/>
    <s v="XZ+"/>
    <s v="Divya Pillai"/>
    <n v="1"/>
    <x v="0"/>
    <n v="747073.41"/>
    <n v="5"/>
    <n v="0"/>
    <x v="79"/>
    <n v="37353.67"/>
    <x v="79"/>
    <s v="Not achive"/>
  </r>
  <r>
    <n v="800234"/>
    <s v="18-05-2024"/>
    <x v="0"/>
    <s v="Bihar"/>
    <s v="Patna"/>
    <s v="Online Booking"/>
    <s v="Om Sai Auto Hub"/>
    <s v="Tata Motors"/>
    <s v="PV - ICE"/>
    <x v="13"/>
    <s v="Pure"/>
    <s v="Neha Singh"/>
    <n v="2"/>
    <x v="11"/>
    <n v="1933274.14"/>
    <n v="7.5"/>
    <n v="0"/>
    <x v="80"/>
    <n v="289991.12"/>
    <x v="80"/>
    <s v="Achive"/>
  </r>
  <r>
    <n v="800321"/>
    <s v="18-05-2024"/>
    <x v="2"/>
    <s v="Delhi"/>
    <s v="New Delhi"/>
    <s v="Company Showroom"/>
    <s v="Reliance Trishakti"/>
    <s v="Tata Motors"/>
    <s v="PV - ICE"/>
    <x v="7"/>
    <s v="Smart"/>
    <s v="Neha Singh"/>
    <n v="2"/>
    <x v="5"/>
    <n v="1725034.85"/>
    <n v="5"/>
    <n v="0"/>
    <x v="81"/>
    <n v="172503.48"/>
    <x v="81"/>
    <s v="Achive"/>
  </r>
  <r>
    <n v="800120"/>
    <s v="19-05-2024"/>
    <x v="3"/>
    <s v="Gujarat"/>
    <s v="Surat"/>
    <s v="Corporate/Fleet Sale"/>
    <s v="Metro Tata Motors"/>
    <s v="Tata Motors"/>
    <s v="PV - EV"/>
    <x v="8"/>
    <s v="Fearless"/>
    <s v="Karan Mehta"/>
    <n v="1"/>
    <x v="6"/>
    <n v="1514192.02"/>
    <n v="7.5"/>
    <n v="0"/>
    <x v="82"/>
    <n v="113564.4"/>
    <x v="82"/>
    <s v="Not achive"/>
  </r>
  <r>
    <n v="800412"/>
    <s v="19-05-2024"/>
    <x v="0"/>
    <s v="Bihar"/>
    <s v="Patna"/>
    <s v="Company Showroom"/>
    <s v="Metro Tata Motors"/>
    <s v="Tata Motors"/>
    <s v="CV - SCV"/>
    <x v="1"/>
    <s v="CNG"/>
    <s v="Vikas Yadav"/>
    <n v="6"/>
    <x v="1"/>
    <n v="560849.72"/>
    <n v="2"/>
    <n v="0"/>
    <x v="83"/>
    <n v="67301.97"/>
    <x v="83"/>
    <s v="Achive"/>
  </r>
  <r>
    <n v="800586"/>
    <s v="22-05-2024"/>
    <x v="0"/>
    <s v="West Bengal"/>
    <s v="Kolkata"/>
    <s v="Online Booking"/>
    <s v="National Tata Dealership"/>
    <s v="Tata Motors"/>
    <s v="PV - ICE"/>
    <x v="14"/>
    <s v="XT"/>
    <s v="Sneha Kapoor"/>
    <n v="3"/>
    <x v="12"/>
    <n v="643184.78"/>
    <n v="0"/>
    <n v="0"/>
    <x v="84"/>
    <n v="0"/>
    <x v="84"/>
    <s v="Not achive"/>
  </r>
  <r>
    <n v="800602"/>
    <s v="22-05-2024"/>
    <x v="1"/>
    <s v="Telangana"/>
    <s v="Hyderabad"/>
    <s v="Corporate/Fleet Sale"/>
    <s v="Concorde Tata"/>
    <s v="Tata Motors"/>
    <s v="CV - Pickup"/>
    <x v="2"/>
    <s v="AC Cabin"/>
    <s v="Priya Nair"/>
    <n v="6"/>
    <x v="2"/>
    <n v="792518.45"/>
    <n v="7.5"/>
    <n v="0"/>
    <x v="85"/>
    <n v="356633.3"/>
    <x v="85"/>
    <s v="Achive"/>
  </r>
  <r>
    <n v="800316"/>
    <s v="24-05-2024"/>
    <x v="2"/>
    <s v="Haryana"/>
    <s v="Panipat"/>
    <s v="Authorized Dealer"/>
    <s v="Reliance Trishakti"/>
    <s v="Tata Motors"/>
    <s v="PV - EV"/>
    <x v="11"/>
    <s v="Accomplished"/>
    <s v="Karan Mehta"/>
    <n v="3"/>
    <x v="9"/>
    <n v="1809065.37"/>
    <n v="10"/>
    <n v="0"/>
    <x v="86"/>
    <n v="542719.61"/>
    <x v="86"/>
    <s v="Achive"/>
  </r>
  <r>
    <n v="800519"/>
    <s v="25-05-2024"/>
    <x v="3"/>
    <s v="Maharashtra"/>
    <s v="Nagpur"/>
    <s v="Authorized Dealer"/>
    <s v="Sunrise Tata Showroom"/>
    <s v="Tata Motors"/>
    <s v="CV - Pickup"/>
    <x v="2"/>
    <s v="Base"/>
    <s v="Priya Nair"/>
    <n v="5"/>
    <x v="2"/>
    <n v="782827.58"/>
    <n v="0"/>
    <n v="0"/>
    <x v="87"/>
    <n v="0"/>
    <x v="87"/>
    <s v="Achive"/>
  </r>
  <r>
    <n v="800050"/>
    <s v="26-05-2024"/>
    <x v="2"/>
    <s v="Uttar Pradesh"/>
    <s v="Noida"/>
    <s v="Corporate/Fleet Sale"/>
    <s v="Big Wheels Auto"/>
    <s v="Tata Motors"/>
    <s v="PV - ICE"/>
    <x v="4"/>
    <s v="XZ+"/>
    <s v="Karan Mehta"/>
    <n v="3"/>
    <x v="2"/>
    <n v="804734.29"/>
    <n v="0"/>
    <n v="0"/>
    <x v="88"/>
    <n v="0"/>
    <x v="88"/>
    <s v="Achive"/>
  </r>
  <r>
    <n v="800156"/>
    <s v="26-05-2024"/>
    <x v="3"/>
    <s v="Rajasthan"/>
    <s v="Jodhpur"/>
    <s v="Authorized Dealer"/>
    <s v="Landmark Motors"/>
    <s v="Tata Motors"/>
    <s v="PV - EV"/>
    <x v="5"/>
    <s v="Adventure"/>
    <s v="Karan Mehta"/>
    <n v="3"/>
    <x v="3"/>
    <n v="1204351.24"/>
    <n v="5"/>
    <n v="0"/>
    <x v="89"/>
    <n v="180652.69"/>
    <x v="89"/>
    <s v="Achive"/>
  </r>
  <r>
    <n v="800318"/>
    <s v="27-05-2024"/>
    <x v="1"/>
    <s v="Karnataka"/>
    <s v="Hubli"/>
    <s v="Exchange Program"/>
    <s v="Capital Cars"/>
    <s v="Tata Motors"/>
    <s v="CV - Pickup"/>
    <x v="9"/>
    <s v="Base"/>
    <s v="Priya Nair"/>
    <n v="3"/>
    <x v="7"/>
    <n v="981725.26"/>
    <n v="0"/>
    <n v="0"/>
    <x v="90"/>
    <n v="0"/>
    <x v="90"/>
    <s v="Achive"/>
  </r>
  <r>
    <n v="800538"/>
    <s v="27-05-2024"/>
    <x v="0"/>
    <s v="West Bengal"/>
    <s v="Kolkata"/>
    <s v="Authorized Dealer"/>
    <s v="National Tata Dealership"/>
    <s v="Tata Motors"/>
    <s v="CV - Pickup"/>
    <x v="9"/>
    <s v="CX"/>
    <s v="Anjali Rao"/>
    <n v="5"/>
    <x v="7"/>
    <n v="1017266.11"/>
    <n v="7.5"/>
    <n v="0"/>
    <x v="91"/>
    <n v="381474.79"/>
    <x v="91"/>
    <s v="Achive"/>
  </r>
  <r>
    <n v="800012"/>
    <s v="28-05-2024"/>
    <x v="2"/>
    <s v="Haryana"/>
    <s v="Faridabad"/>
    <s v="Company Showroom"/>
    <s v="Big Wheels Auto"/>
    <s v="Tata Motors"/>
    <s v="CV - SCV"/>
    <x v="1"/>
    <s v="Base"/>
    <s v="Divya Pillai"/>
    <n v="5"/>
    <x v="1"/>
    <n v="558758.56999999995"/>
    <n v="7.5"/>
    <n v="0"/>
    <x v="92"/>
    <n v="209534.46"/>
    <x v="92"/>
    <s v="Achive"/>
  </r>
  <r>
    <n v="800184"/>
    <s v="28-05-2024"/>
    <x v="1"/>
    <s v="Telangana"/>
    <s v="Warangal"/>
    <s v="Exchange Program"/>
    <s v="Metro Tata Motors"/>
    <s v="Tata Motors"/>
    <s v="CV - Pickup"/>
    <x v="2"/>
    <s v="Base"/>
    <s v="Vikas Yadav"/>
    <n v="4"/>
    <x v="2"/>
    <n v="789846.39"/>
    <n v="5"/>
    <n v="0"/>
    <x v="93"/>
    <n v="157969.28"/>
    <x v="93"/>
    <s v="Achive"/>
  </r>
  <r>
    <n v="800228"/>
    <s v="28-05-2024"/>
    <x v="1"/>
    <s v="Tamil Nadu"/>
    <s v="Coimbatore"/>
    <s v="Company Showroom"/>
    <s v="Om Sai Auto Hub"/>
    <s v="Tata Motors"/>
    <s v="PV - EV"/>
    <x v="5"/>
    <s v="Smart"/>
    <s v="Priya Nair"/>
    <n v="3"/>
    <x v="3"/>
    <n v="1208551.1000000001"/>
    <n v="12.5"/>
    <n v="0"/>
    <x v="94"/>
    <n v="453206.66"/>
    <x v="94"/>
    <s v="Achive"/>
  </r>
  <r>
    <n v="800244"/>
    <s v="28-05-2024"/>
    <x v="2"/>
    <s v="Haryana"/>
    <s v="Faridabad"/>
    <s v="Exchange Program"/>
    <s v="National Tata Dealership"/>
    <s v="Tata Motors"/>
    <s v="PV - EV"/>
    <x v="11"/>
    <s v="Creative"/>
    <s v="Sneha Kapoor"/>
    <n v="2"/>
    <x v="9"/>
    <n v="1804155.28"/>
    <n v="2"/>
    <n v="0"/>
    <x v="95"/>
    <n v="72166.210000000006"/>
    <x v="95"/>
    <s v="Achive"/>
  </r>
  <r>
    <n v="800345"/>
    <s v="29-05-2024"/>
    <x v="2"/>
    <s v="Delhi"/>
    <s v="Dwarka"/>
    <s v="Online Booking"/>
    <s v="Prerna Automobiles"/>
    <s v="Tata Motors"/>
    <s v="CV - Pickup"/>
    <x v="9"/>
    <s v="Base"/>
    <s v="Anjali Rao"/>
    <n v="6"/>
    <x v="7"/>
    <n v="1014283.01"/>
    <n v="10"/>
    <n v="0"/>
    <x v="96"/>
    <n v="608569.81000000006"/>
    <x v="96"/>
    <s v="Achive"/>
  </r>
  <r>
    <n v="800640"/>
    <s v="29-05-2024"/>
    <x v="2"/>
    <s v="Delhi"/>
    <s v="Dwarka"/>
    <s v="Corporate/Fleet Sale"/>
    <s v="Big Wheels Auto"/>
    <s v="Tata Motors"/>
    <s v="PV - ICE"/>
    <x v="7"/>
    <s v="Smart"/>
    <s v="Suresh Kumar"/>
    <n v="3"/>
    <x v="5"/>
    <n v="1651717.45"/>
    <n v="0"/>
    <n v="0"/>
    <x v="97"/>
    <n v="0"/>
    <x v="97"/>
    <s v="Achive"/>
  </r>
  <r>
    <n v="800320"/>
    <s v="30-05-2024"/>
    <x v="1"/>
    <s v="Telangana"/>
    <s v="Hyderabad"/>
    <s v="Authorized Dealer"/>
    <s v="Statesman Cars"/>
    <s v="Tata Motors"/>
    <s v="CV - Pickup"/>
    <x v="2"/>
    <s v="Base"/>
    <s v="Rohit Verma"/>
    <n v="3"/>
    <x v="2"/>
    <n v="808063.84"/>
    <n v="7.5"/>
    <n v="0"/>
    <x v="98"/>
    <n v="181814.36"/>
    <x v="98"/>
    <s v="Achive"/>
  </r>
  <r>
    <n v="800572"/>
    <s v="30-05-2024"/>
    <x v="2"/>
    <s v="Punjab"/>
    <s v="Amritsar"/>
    <s v="Exchange Program"/>
    <s v="Statesman Cars"/>
    <s v="Tata Motors"/>
    <s v="PV - ICE"/>
    <x v="3"/>
    <s v="Creative"/>
    <s v="Rohit Verma"/>
    <n v="3"/>
    <x v="3"/>
    <n v="1207328.19"/>
    <n v="0"/>
    <n v="0"/>
    <x v="99"/>
    <n v="0"/>
    <x v="99"/>
    <s v="Achive"/>
  </r>
  <r>
    <n v="800110"/>
    <s v="01-06-2024"/>
    <x v="2"/>
    <s v="Uttar Pradesh"/>
    <s v="Noida"/>
    <s v="Exchange Program"/>
    <s v="Landmark Motors"/>
    <s v="Tata Motors"/>
    <s v="PV - ICE"/>
    <x v="14"/>
    <s v="XE"/>
    <s v="Rohit Verma"/>
    <n v="1"/>
    <x v="12"/>
    <n v="655438.86"/>
    <n v="5"/>
    <n v="0"/>
    <x v="100"/>
    <n v="32771.94"/>
    <x v="100"/>
    <s v="Not achive"/>
  </r>
  <r>
    <n v="800095"/>
    <s v="04-06-2024"/>
    <x v="3"/>
    <s v="Maharashtra"/>
    <s v="Pune"/>
    <s v="Authorized Dealer"/>
    <s v="Reliance Trishakti"/>
    <s v="Tata Motors"/>
    <s v="PV - ICE"/>
    <x v="6"/>
    <s v="Creative+"/>
    <s v="Karan Mehta"/>
    <n v="1"/>
    <x v="4"/>
    <n v="680770.25"/>
    <n v="7.5"/>
    <n v="0"/>
    <x v="101"/>
    <n v="51057.77"/>
    <x v="101"/>
    <s v="Not achive"/>
  </r>
  <r>
    <n v="800232"/>
    <s v="04-06-2024"/>
    <x v="1"/>
    <s v="Kerala"/>
    <s v="Thiruvananthapuram"/>
    <s v="Exchange Program"/>
    <s v="Sunrise Tata Showroom"/>
    <s v="Tata Motors"/>
    <s v="CV - Pickup"/>
    <x v="2"/>
    <s v="Base"/>
    <s v="Suresh Kumar"/>
    <n v="4"/>
    <x v="2"/>
    <n v="812750.75"/>
    <n v="5"/>
    <n v="0"/>
    <x v="102"/>
    <n v="162550.15"/>
    <x v="102"/>
    <s v="Achive"/>
  </r>
  <r>
    <n v="800402"/>
    <s v="04-06-2024"/>
    <x v="2"/>
    <s v="Delhi"/>
    <s v="Dwarka"/>
    <s v="Exchange Program"/>
    <s v="Statesman Cars"/>
    <s v="Tata Motors"/>
    <s v="PV - ICE"/>
    <x v="0"/>
    <s v="XZ+"/>
    <s v="Sneha Kapoor"/>
    <n v="2"/>
    <x v="0"/>
    <n v="736100.85"/>
    <n v="5"/>
    <n v="0"/>
    <x v="103"/>
    <n v="73610.09"/>
    <x v="103"/>
    <s v="Not achive"/>
  </r>
  <r>
    <n v="800147"/>
    <s v="06-06-2024"/>
    <x v="3"/>
    <s v="Gujarat"/>
    <s v="Ahmedabad"/>
    <s v="Authorized Dealer"/>
    <s v="Capital Cars"/>
    <s v="Tata Motors"/>
    <s v="PV - ICE"/>
    <x v="3"/>
    <s v="Accomplished"/>
    <s v="Divya Pillai"/>
    <n v="2"/>
    <x v="3"/>
    <n v="1171700.08"/>
    <n v="0"/>
    <n v="0"/>
    <x v="104"/>
    <n v="0"/>
    <x v="104"/>
    <s v="Achive"/>
  </r>
  <r>
    <n v="800372"/>
    <s v="06-06-2024"/>
    <x v="0"/>
    <s v="Bihar"/>
    <s v="Patna"/>
    <s v="Company Showroom"/>
    <s v="Capital Cars"/>
    <s v="Tata Motors"/>
    <s v="CV - Pickup"/>
    <x v="9"/>
    <s v="Base"/>
    <s v="Divya Pillai"/>
    <n v="5"/>
    <x v="7"/>
    <n v="1007619.16"/>
    <n v="0"/>
    <n v="0"/>
    <x v="105"/>
    <n v="0"/>
    <x v="105"/>
    <s v="Achive"/>
  </r>
  <r>
    <n v="800535"/>
    <s v="07-06-2024"/>
    <x v="0"/>
    <s v="Odisha"/>
    <s v="Cuttack"/>
    <s v="Online Booking"/>
    <s v="Capital Cars"/>
    <s v="Tata Motors"/>
    <s v="PV - ICE"/>
    <x v="6"/>
    <s v="Pure"/>
    <s v="Divya Pillai"/>
    <n v="1"/>
    <x v="4"/>
    <n v="703260.59"/>
    <n v="10"/>
    <n v="0"/>
    <x v="106"/>
    <n v="70326.06"/>
    <x v="106"/>
    <s v="Not achive"/>
  </r>
  <r>
    <n v="800312"/>
    <s v="08-06-2024"/>
    <x v="1"/>
    <s v="Karnataka"/>
    <s v="Hubli"/>
    <s v="Authorized Dealer"/>
    <s v="Sunrise Tata Showroom"/>
    <s v="Tata Motors"/>
    <s v="PV - EV"/>
    <x v="5"/>
    <s v="Adventure"/>
    <s v="Divya Pillai"/>
    <n v="3"/>
    <x v="3"/>
    <n v="1195447.06"/>
    <n v="10"/>
    <n v="0"/>
    <x v="107"/>
    <n v="358634.12"/>
    <x v="107"/>
    <s v="Achive"/>
  </r>
  <r>
    <n v="800334"/>
    <s v="08-06-2024"/>
    <x v="1"/>
    <s v="Telangana"/>
    <s v="Warangal"/>
    <s v="Exchange Program"/>
    <s v="Sai Service Tata"/>
    <s v="Tata Motors"/>
    <s v="CV - SCV"/>
    <x v="1"/>
    <s v="Base"/>
    <s v="Rohit Verma"/>
    <n v="4"/>
    <x v="1"/>
    <n v="559998.81999999995"/>
    <n v="5"/>
    <n v="0"/>
    <x v="108"/>
    <n v="111999.76"/>
    <x v="108"/>
    <s v="Achive"/>
  </r>
  <r>
    <n v="800394"/>
    <s v="08-06-2024"/>
    <x v="3"/>
    <s v="Rajasthan"/>
    <s v="Jodhpur"/>
    <s v="Online Booking"/>
    <s v="Prerna Automobiles"/>
    <s v="Tata Motors"/>
    <s v="PV - ICE"/>
    <x v="4"/>
    <s v="XZ+"/>
    <s v="Suresh Kumar"/>
    <n v="2"/>
    <x v="2"/>
    <n v="808226.73"/>
    <n v="0"/>
    <n v="0"/>
    <x v="109"/>
    <n v="0"/>
    <x v="109"/>
    <s v="Not achive"/>
  </r>
  <r>
    <n v="800463"/>
    <s v="08-06-2024"/>
    <x v="1"/>
    <s v="Tamil Nadu"/>
    <s v="Chennai"/>
    <s v="Corporate/Fleet Sale"/>
    <s v="Big Wheels Auto"/>
    <s v="Tata Motors"/>
    <s v="PV - ICE"/>
    <x v="10"/>
    <s v="Creative"/>
    <s v="Amit Sharma"/>
    <n v="2"/>
    <x v="8"/>
    <n v="961557.21"/>
    <n v="0"/>
    <n v="0"/>
    <x v="110"/>
    <n v="0"/>
    <x v="110"/>
    <s v="Not achive"/>
  </r>
  <r>
    <n v="800403"/>
    <s v="09-06-2024"/>
    <x v="3"/>
    <s v="Rajasthan"/>
    <s v="Jaipur"/>
    <s v="Authorized Dealer"/>
    <s v="Landmark Motors"/>
    <s v="Tata Motors"/>
    <s v="PV - ICE"/>
    <x v="7"/>
    <s v="Pure"/>
    <s v="Neha Singh"/>
    <n v="2"/>
    <x v="5"/>
    <n v="1688711.45"/>
    <n v="5"/>
    <n v="0"/>
    <x v="111"/>
    <n v="168871.14"/>
    <x v="111"/>
    <s v="Achive"/>
  </r>
  <r>
    <n v="800491"/>
    <s v="09-06-2024"/>
    <x v="0"/>
    <s v="Bihar"/>
    <s v="Gaya"/>
    <s v="Company Showroom"/>
    <s v="Statesman Cars"/>
    <s v="Tata Motors"/>
    <s v="PV - ICE"/>
    <x v="14"/>
    <s v="XE"/>
    <s v="Anjali Rao"/>
    <n v="1"/>
    <x v="12"/>
    <n v="653943.53"/>
    <n v="12.5"/>
    <n v="0"/>
    <x v="112"/>
    <n v="81742.94"/>
    <x v="112"/>
    <s v="Not achive"/>
  </r>
  <r>
    <n v="800129"/>
    <s v="11-06-2024"/>
    <x v="1"/>
    <s v="Karnataka"/>
    <s v="Hubli"/>
    <s v="Corporate/Fleet Sale"/>
    <s v="Concorde Tata"/>
    <s v="Tata Motors"/>
    <s v="CV - Pickup"/>
    <x v="2"/>
    <s v="AC Cabin"/>
    <s v="Suresh Kumar"/>
    <n v="2"/>
    <x v="2"/>
    <n v="777532.13"/>
    <n v="12.5"/>
    <n v="0"/>
    <x v="113"/>
    <n v="194383.03"/>
    <x v="113"/>
    <s v="Not achive"/>
  </r>
  <r>
    <n v="800214"/>
    <s v="11-06-2024"/>
    <x v="3"/>
    <s v="Rajasthan"/>
    <s v="Jaipur"/>
    <s v="Online Booking"/>
    <s v="Sai Service Tata"/>
    <s v="Tata Motors"/>
    <s v="PV - ICE"/>
    <x v="6"/>
    <s v="Adventure"/>
    <s v="Rohit Verma"/>
    <n v="3"/>
    <x v="4"/>
    <n v="681420.55"/>
    <n v="10"/>
    <n v="0"/>
    <x v="114"/>
    <n v="204426.17"/>
    <x v="114"/>
    <s v="Not achive"/>
  </r>
  <r>
    <n v="800263"/>
    <s v="11-06-2024"/>
    <x v="1"/>
    <s v="Kerala"/>
    <s v="Kochi"/>
    <s v="Authorized Dealer"/>
    <s v="Metro Tata Motors"/>
    <s v="Tata Motors"/>
    <s v="CV - Pickup"/>
    <x v="2"/>
    <s v="AC Cabin"/>
    <s v="Divya Pillai"/>
    <n v="6"/>
    <x v="2"/>
    <n v="798004.84"/>
    <n v="0"/>
    <n v="0"/>
    <x v="115"/>
    <n v="0"/>
    <x v="115"/>
    <s v="Achive"/>
  </r>
  <r>
    <n v="800486"/>
    <s v="11-06-2024"/>
    <x v="3"/>
    <s v="Gujarat"/>
    <s v="Surat"/>
    <s v="Authorized Dealer"/>
    <s v="National Tata Dealership"/>
    <s v="Tata Motors"/>
    <s v="PV - ICE"/>
    <x v="0"/>
    <s v="XZ+"/>
    <s v="Karan Mehta"/>
    <n v="2"/>
    <x v="0"/>
    <n v="739777.81"/>
    <n v="0"/>
    <n v="0"/>
    <x v="116"/>
    <n v="0"/>
    <x v="116"/>
    <s v="Not achive"/>
  </r>
  <r>
    <n v="800218"/>
    <s v="12-06-2024"/>
    <x v="0"/>
    <s v="Odisha"/>
    <s v="Cuttack"/>
    <s v="Corporate/Fleet Sale"/>
    <s v="Landmark Motors"/>
    <s v="Tata Motors"/>
    <s v="PV - ICE"/>
    <x v="3"/>
    <s v="Smart"/>
    <s v="Rohit Verma"/>
    <n v="2"/>
    <x v="3"/>
    <n v="1219232.8500000001"/>
    <n v="0"/>
    <n v="0"/>
    <x v="117"/>
    <n v="0"/>
    <x v="117"/>
    <s v="Achive"/>
  </r>
  <r>
    <n v="800083"/>
    <s v="13-06-2024"/>
    <x v="0"/>
    <s v="Odisha"/>
    <s v="Cuttack"/>
    <s v="Company Showroom"/>
    <s v="Statesman Cars"/>
    <s v="Tata Motors"/>
    <s v="PV - ICE"/>
    <x v="0"/>
    <s v="XZ+"/>
    <s v="Sneha Kapoor"/>
    <n v="3"/>
    <x v="0"/>
    <n v="753117.55"/>
    <n v="12.5"/>
    <n v="0"/>
    <x v="118"/>
    <n v="282419.08"/>
    <x v="118"/>
    <s v="Not achive"/>
  </r>
  <r>
    <n v="800152"/>
    <s v="13-06-2024"/>
    <x v="0"/>
    <s v="West Bengal"/>
    <s v="Howrah"/>
    <s v="Authorized Dealer"/>
    <s v="Sai Service Tata"/>
    <s v="Tata Motors"/>
    <s v="PV - ICE"/>
    <x v="14"/>
    <s v="XE"/>
    <s v="Priya Nair"/>
    <n v="2"/>
    <x v="12"/>
    <n v="646238.16"/>
    <n v="2"/>
    <n v="0"/>
    <x v="119"/>
    <n v="25849.53"/>
    <x v="119"/>
    <s v="Not achive"/>
  </r>
  <r>
    <n v="800096"/>
    <s v="14-06-2024"/>
    <x v="3"/>
    <s v="Maharashtra"/>
    <s v="Nashik"/>
    <s v="Company Showroom"/>
    <s v="National Tata Dealership"/>
    <s v="Tata Motors"/>
    <s v="PV - ICE"/>
    <x v="6"/>
    <s v="Pure"/>
    <s v="Neha Singh"/>
    <n v="1"/>
    <x v="4"/>
    <n v="706602.53"/>
    <n v="0"/>
    <n v="0"/>
    <x v="120"/>
    <n v="0"/>
    <x v="120"/>
    <s v="Not achive"/>
  </r>
  <r>
    <n v="800209"/>
    <s v="14-06-2024"/>
    <x v="0"/>
    <s v="Bihar"/>
    <s v="Patna"/>
    <s v="Exchange Program"/>
    <s v="Om Sai Auto Hub"/>
    <s v="Tata Motors"/>
    <s v="PV - ICE"/>
    <x v="4"/>
    <s v="XZ+"/>
    <s v="Sneha Kapoor"/>
    <n v="1"/>
    <x v="2"/>
    <n v="781553.6"/>
    <n v="5"/>
    <n v="0"/>
    <x v="121"/>
    <n v="39077.68"/>
    <x v="121"/>
    <s v="Not achive"/>
  </r>
  <r>
    <n v="800447"/>
    <s v="14-06-2024"/>
    <x v="3"/>
    <s v="Gujarat"/>
    <s v="Vadodara"/>
    <s v="Exchange Program"/>
    <s v="Statesman Cars"/>
    <s v="Tata Motors"/>
    <s v="PV - ICE"/>
    <x v="10"/>
    <s v="Smart"/>
    <s v="Divya Pillai"/>
    <n v="3"/>
    <x v="8"/>
    <n v="966558.57"/>
    <n v="0"/>
    <n v="0"/>
    <x v="122"/>
    <n v="0"/>
    <x v="122"/>
    <s v="Achive"/>
  </r>
  <r>
    <n v="800273"/>
    <s v="15-06-2024"/>
    <x v="0"/>
    <s v="Bihar"/>
    <s v="Gaya"/>
    <s v="Exchange Program"/>
    <s v="Prerna Automobiles"/>
    <s v="Tata Motors"/>
    <s v="CV - SCV"/>
    <x v="1"/>
    <s v="Base"/>
    <s v="Neha Singh"/>
    <n v="6"/>
    <x v="1"/>
    <n v="538380.15"/>
    <n v="7.5"/>
    <n v="0"/>
    <x v="123"/>
    <n v="242271.07"/>
    <x v="123"/>
    <s v="Achive"/>
  </r>
  <r>
    <n v="800368"/>
    <s v="15-06-2024"/>
    <x v="3"/>
    <s v="Rajasthan"/>
    <s v="Jodhpur"/>
    <s v="Authorized Dealer"/>
    <s v="Prerna Automobiles"/>
    <s v="Tata Motors"/>
    <s v="PV - ICE"/>
    <x v="14"/>
    <s v="XE"/>
    <s v="Karan Mehta"/>
    <n v="3"/>
    <x v="12"/>
    <n v="635736.69999999995"/>
    <n v="0"/>
    <n v="0"/>
    <x v="124"/>
    <n v="0"/>
    <x v="124"/>
    <s v="Not achive"/>
  </r>
  <r>
    <n v="800617"/>
    <s v="15-06-2024"/>
    <x v="0"/>
    <s v="Bihar"/>
    <s v="Gaya"/>
    <s v="Authorized Dealer"/>
    <s v="Capital Cars"/>
    <s v="Tata Motors"/>
    <s v="PV - ICE"/>
    <x v="10"/>
    <s v="Fearless+"/>
    <s v="Divya Pillai"/>
    <n v="2"/>
    <x v="8"/>
    <n v="943243.59"/>
    <n v="0"/>
    <n v="0"/>
    <x v="125"/>
    <n v="0"/>
    <x v="125"/>
    <s v="Not achive"/>
  </r>
  <r>
    <n v="800470"/>
    <s v="16-06-2024"/>
    <x v="2"/>
    <s v="Haryana"/>
    <s v="Hisar"/>
    <s v="Exchange Program"/>
    <s v="Om Sai Auto Hub"/>
    <s v="Tata Motors"/>
    <s v="PV - ICE"/>
    <x v="14"/>
    <s v="XE"/>
    <s v="Karan Mehta"/>
    <n v="3"/>
    <x v="12"/>
    <n v="641280.88"/>
    <n v="7.5"/>
    <n v="0"/>
    <x v="126"/>
    <n v="144288.20000000001"/>
    <x v="126"/>
    <s v="Not achive"/>
  </r>
  <r>
    <n v="800102"/>
    <s v="18-06-2024"/>
    <x v="0"/>
    <s v="West Bengal"/>
    <s v="Howrah"/>
    <s v="Online Booking"/>
    <s v="Metro Tata Motors"/>
    <s v="Tata Motors"/>
    <s v="PV - ICE"/>
    <x v="13"/>
    <s v="Smart"/>
    <s v="Neha Singh"/>
    <n v="2"/>
    <x v="11"/>
    <n v="1872689.74"/>
    <n v="5"/>
    <n v="0"/>
    <x v="127"/>
    <n v="187268.97"/>
    <x v="127"/>
    <s v="Achive"/>
  </r>
  <r>
    <n v="800473"/>
    <s v="18-06-2024"/>
    <x v="3"/>
    <s v="Maharashtra"/>
    <s v="Pune"/>
    <s v="Authorized Dealer"/>
    <s v="Prerna Automobiles"/>
    <s v="Tata Motors"/>
    <s v="CV - Pickup"/>
    <x v="9"/>
    <s v="Base"/>
    <s v="Priya Nair"/>
    <n v="5"/>
    <x v="7"/>
    <n v="971246.74"/>
    <n v="12.5"/>
    <n v="0"/>
    <x v="128"/>
    <n v="607029.21"/>
    <x v="128"/>
    <s v="Achive"/>
  </r>
  <r>
    <n v="800079"/>
    <s v="19-06-2024"/>
    <x v="3"/>
    <s v="Rajasthan"/>
    <s v="Jodhpur"/>
    <s v="Authorized Dealer"/>
    <s v="Capital Cars"/>
    <s v="Tata Motors"/>
    <s v="PV - ICE"/>
    <x v="0"/>
    <s v="XZ+"/>
    <s v="Priya Nair"/>
    <n v="1"/>
    <x v="0"/>
    <n v="754591.64"/>
    <n v="10"/>
    <n v="0"/>
    <x v="129"/>
    <n v="75459.16"/>
    <x v="129"/>
    <s v="Not achive"/>
  </r>
  <r>
    <n v="800418"/>
    <s v="19-06-2024"/>
    <x v="1"/>
    <s v="Telangana"/>
    <s v="Hyderabad"/>
    <s v="Exchange Program"/>
    <s v="Statesman Cars"/>
    <s v="Tata Motors"/>
    <s v="PV - EV"/>
    <x v="11"/>
    <s v="Accomplished"/>
    <s v="Neha Singh"/>
    <n v="3"/>
    <x v="9"/>
    <n v="1788155.52"/>
    <n v="0"/>
    <n v="0"/>
    <x v="130"/>
    <n v="0"/>
    <x v="130"/>
    <s v="Achive"/>
  </r>
  <r>
    <n v="800563"/>
    <s v="19-06-2024"/>
    <x v="1"/>
    <s v="Karnataka"/>
    <s v="Hubli"/>
    <s v="Company Showroom"/>
    <s v="Om Sai Auto Hub"/>
    <s v="Tata Motors"/>
    <s v="PV - EV"/>
    <x v="5"/>
    <s v="Adventure"/>
    <s v="Priya Nair"/>
    <n v="2"/>
    <x v="3"/>
    <n v="1184418.79"/>
    <n v="0"/>
    <n v="0"/>
    <x v="131"/>
    <n v="0"/>
    <x v="131"/>
    <s v="Achive"/>
  </r>
  <r>
    <n v="800236"/>
    <s v="20-06-2024"/>
    <x v="3"/>
    <s v="Rajasthan"/>
    <s v="Jodhpur"/>
    <s v="Corporate/Fleet Sale"/>
    <s v="Reliance Trishakti"/>
    <s v="Tata Motors"/>
    <s v="CV - SCV"/>
    <x v="1"/>
    <s v="Base"/>
    <s v="Anjali Rao"/>
    <n v="1"/>
    <x v="1"/>
    <n v="550719.93999999994"/>
    <n v="12.5"/>
    <n v="0"/>
    <x v="132"/>
    <n v="68839.990000000005"/>
    <x v="132"/>
    <s v="Not achive"/>
  </r>
  <r>
    <n v="800274"/>
    <s v="20-06-2024"/>
    <x v="3"/>
    <s v="Maharashtra"/>
    <s v="Nashik"/>
    <s v="Corporate/Fleet Sale"/>
    <s v="Concorde Tata"/>
    <s v="Tata Motors"/>
    <s v="PV - ICE"/>
    <x v="10"/>
    <s v="Fearless+"/>
    <s v="Sneha Kapoor"/>
    <n v="3"/>
    <x v="8"/>
    <n v="926299.03"/>
    <n v="5"/>
    <n v="0"/>
    <x v="133"/>
    <n v="138944.85"/>
    <x v="133"/>
    <s v="Achive"/>
  </r>
  <r>
    <n v="800526"/>
    <s v="21-06-2024"/>
    <x v="3"/>
    <s v="Gujarat"/>
    <s v="Ahmedabad"/>
    <s v="Company Showroom"/>
    <s v="Sunrise Tata Showroom"/>
    <s v="Tata Motors"/>
    <s v="PV - ICE"/>
    <x v="14"/>
    <s v="XE"/>
    <s v="Amit Sharma"/>
    <n v="1"/>
    <x v="12"/>
    <n v="652770.42000000004"/>
    <n v="12.5"/>
    <n v="0"/>
    <x v="134"/>
    <n v="81596.3"/>
    <x v="134"/>
    <s v="Not achive"/>
  </r>
  <r>
    <n v="800337"/>
    <s v="22-06-2024"/>
    <x v="0"/>
    <s v="Odisha"/>
    <s v="Bhubaneswar"/>
    <s v="Online Booking"/>
    <s v="Landmark Motors"/>
    <s v="Tata Motors"/>
    <s v="PV - EV"/>
    <x v="11"/>
    <s v="Creative"/>
    <s v="Anjali Rao"/>
    <n v="2"/>
    <x v="9"/>
    <n v="1759079.4"/>
    <n v="0"/>
    <n v="0"/>
    <x v="135"/>
    <n v="0"/>
    <x v="135"/>
    <s v="Achive"/>
  </r>
  <r>
    <n v="800249"/>
    <s v="23-06-2024"/>
    <x v="0"/>
    <s v="Bihar"/>
    <s v="Gaya"/>
    <s v="Exchange Program"/>
    <s v="National Tata Dealership"/>
    <s v="Tata Motors"/>
    <s v="PV - ICE"/>
    <x v="14"/>
    <s v="XT"/>
    <s v="Suresh Kumar"/>
    <n v="1"/>
    <x v="12"/>
    <n v="630911.61"/>
    <n v="0"/>
    <n v="0"/>
    <x v="136"/>
    <n v="0"/>
    <x v="136"/>
    <s v="Not achive"/>
  </r>
  <r>
    <n v="800559"/>
    <s v="23-06-2024"/>
    <x v="1"/>
    <s v="Telangana"/>
    <s v="Warangal"/>
    <s v="Corporate/Fleet Sale"/>
    <s v="Reliance Trishakti"/>
    <s v="Tata Motors"/>
    <s v="PV - ICE"/>
    <x v="7"/>
    <s v="Pure"/>
    <s v="Amit Sharma"/>
    <n v="2"/>
    <x v="5"/>
    <n v="1692564.7"/>
    <n v="0"/>
    <n v="0"/>
    <x v="137"/>
    <n v="0"/>
    <x v="137"/>
    <s v="Achive"/>
  </r>
  <r>
    <n v="800260"/>
    <s v="24-06-2024"/>
    <x v="0"/>
    <s v="Odisha"/>
    <s v="Bhubaneswar"/>
    <s v="Corporate/Fleet Sale"/>
    <s v="Capital Cars"/>
    <s v="Tata Motors"/>
    <s v="PV - EV"/>
    <x v="5"/>
    <s v="Smart"/>
    <s v="Amit Sharma"/>
    <n v="1"/>
    <x v="3"/>
    <n v="1172166.71"/>
    <n v="0"/>
    <n v="0"/>
    <x v="138"/>
    <n v="0"/>
    <x v="138"/>
    <s v="Not achive"/>
  </r>
  <r>
    <n v="800281"/>
    <s v="24-06-2024"/>
    <x v="3"/>
    <s v="Rajasthan"/>
    <s v="Jaipur"/>
    <s v="Exchange Program"/>
    <s v="Concorde Tata"/>
    <s v="Tata Motors"/>
    <s v="PV - ICE"/>
    <x v="10"/>
    <s v="Fearless+"/>
    <s v="Karan Mehta"/>
    <n v="2"/>
    <x v="8"/>
    <n v="954963.97"/>
    <n v="10"/>
    <n v="0"/>
    <x v="139"/>
    <n v="190992.79"/>
    <x v="139"/>
    <s v="Not achive"/>
  </r>
  <r>
    <n v="800330"/>
    <s v="24-06-2024"/>
    <x v="0"/>
    <s v="Bihar"/>
    <s v="Patna"/>
    <s v="Company Showroom"/>
    <s v="Landmark Motors"/>
    <s v="Tata Motors"/>
    <s v="PV - ICE"/>
    <x v="10"/>
    <s v="Creative"/>
    <s v="Rohit Verma"/>
    <n v="3"/>
    <x v="8"/>
    <n v="946294.29"/>
    <n v="0"/>
    <n v="1"/>
    <x v="140"/>
    <n v="0"/>
    <x v="140"/>
    <s v="Achive"/>
  </r>
  <r>
    <n v="800646"/>
    <s v="24-06-2024"/>
    <x v="1"/>
    <s v="Tamil Nadu"/>
    <s v="Coimbatore"/>
    <s v="Company Showroom"/>
    <s v="Landmark Motors"/>
    <s v="Tata Motors"/>
    <s v="PV - ICE"/>
    <x v="13"/>
    <s v="Accomplished+"/>
    <s v="Amit Sharma"/>
    <n v="1"/>
    <x v="11"/>
    <n v="1875138.84"/>
    <n v="10"/>
    <n v="0"/>
    <x v="141"/>
    <n v="187513.88"/>
    <x v="141"/>
    <s v="Not achive"/>
  </r>
  <r>
    <n v="800251"/>
    <s v="25-06-2024"/>
    <x v="1"/>
    <s v="Tamil Nadu"/>
    <s v="Coimbatore"/>
    <s v="Exchange Program"/>
    <s v="Reliance Trishakti"/>
    <s v="Tata Motors"/>
    <s v="PV - ICE"/>
    <x v="0"/>
    <s v="XZ"/>
    <s v="Priya Nair"/>
    <n v="3"/>
    <x v="0"/>
    <n v="741004.65"/>
    <n v="12.5"/>
    <n v="0"/>
    <x v="142"/>
    <n v="277876.74"/>
    <x v="142"/>
    <s v="Not achive"/>
  </r>
  <r>
    <n v="800642"/>
    <s v="25-06-2024"/>
    <x v="2"/>
    <s v="Delhi"/>
    <s v="Dwarka"/>
    <s v="Online Booking"/>
    <s v="Concorde Tata"/>
    <s v="Tata Motors"/>
    <s v="PV - ICE"/>
    <x v="0"/>
    <s v="XZ+"/>
    <s v="Karan Mehta"/>
    <n v="1"/>
    <x v="0"/>
    <n v="758385.38"/>
    <n v="0"/>
    <n v="0"/>
    <x v="143"/>
    <n v="0"/>
    <x v="143"/>
    <s v="Not achive"/>
  </r>
  <r>
    <n v="800149"/>
    <s v="26-06-2024"/>
    <x v="1"/>
    <s v="Tamil Nadu"/>
    <s v="Coimbatore"/>
    <s v="Company Showroom"/>
    <s v="Reliance Trishakti"/>
    <s v="Tata Motors"/>
    <s v="PV - EV"/>
    <x v="11"/>
    <s v="Accomplished"/>
    <s v="Suresh Kumar"/>
    <n v="3"/>
    <x v="9"/>
    <n v="1773254.21"/>
    <n v="0"/>
    <n v="0"/>
    <x v="144"/>
    <n v="0"/>
    <x v="144"/>
    <s v="Achive"/>
  </r>
  <r>
    <n v="800231"/>
    <s v="26-06-2024"/>
    <x v="1"/>
    <s v="Telangana"/>
    <s v="Hyderabad"/>
    <s v="Exchange Program"/>
    <s v="Statesman Cars"/>
    <s v="Tata Motors"/>
    <s v="CV - SCV"/>
    <x v="1"/>
    <s v="Base"/>
    <s v="Vikas Yadav"/>
    <n v="1"/>
    <x v="1"/>
    <n v="549177.04"/>
    <n v="5"/>
    <n v="0"/>
    <x v="145"/>
    <n v="27458.85"/>
    <x v="145"/>
    <s v="Not achive"/>
  </r>
  <r>
    <n v="800630"/>
    <s v="27-06-2024"/>
    <x v="3"/>
    <s v="Maharashtra"/>
    <s v="Nagpur"/>
    <s v="Exchange Program"/>
    <s v="Sunrise Tata Showroom"/>
    <s v="Tata Motors"/>
    <s v="CV - Pickup"/>
    <x v="2"/>
    <s v="Base"/>
    <s v="Sneha Kapoor"/>
    <n v="5"/>
    <x v="2"/>
    <n v="776716.61"/>
    <n v="10"/>
    <n v="0"/>
    <x v="146"/>
    <n v="388358.3"/>
    <x v="146"/>
    <s v="Achive"/>
  </r>
  <r>
    <n v="800134"/>
    <s v="29-06-2024"/>
    <x v="1"/>
    <s v="Karnataka"/>
    <s v="Bengaluru"/>
    <s v="Authorized Dealer"/>
    <s v="National Tata Dealership"/>
    <s v="Tata Motors"/>
    <s v="PV - ICE"/>
    <x v="13"/>
    <s v="Pure"/>
    <s v="Suresh Kumar"/>
    <n v="1"/>
    <x v="11"/>
    <n v="1876468.41"/>
    <n v="7.5"/>
    <n v="0"/>
    <x v="147"/>
    <n v="140735.13"/>
    <x v="147"/>
    <s v="Not achive"/>
  </r>
  <r>
    <n v="800499"/>
    <s v="29-06-2024"/>
    <x v="1"/>
    <s v="Kerala"/>
    <s v="Thiruvananthapuram"/>
    <s v="Authorized Dealer"/>
    <s v="Sai Service Tata"/>
    <s v="Tata Motors"/>
    <s v="PV - ICE"/>
    <x v="0"/>
    <s v="XZ+"/>
    <s v="Suresh Kumar"/>
    <n v="3"/>
    <x v="0"/>
    <n v="755211.27"/>
    <n v="12.5"/>
    <n v="0"/>
    <x v="148"/>
    <n v="283204.23"/>
    <x v="148"/>
    <s v="Not achive"/>
  </r>
  <r>
    <n v="800011"/>
    <s v="01-07-2024"/>
    <x v="1"/>
    <s v="Kerala"/>
    <s v="Kochi"/>
    <s v="Corporate/Fleet Sale"/>
    <s v="Metro Tata Motors"/>
    <s v="Tata Motors"/>
    <s v="PV - ICE"/>
    <x v="4"/>
    <s v="XM"/>
    <s v="Anjali Rao"/>
    <n v="3"/>
    <x v="2"/>
    <n v="811034.12"/>
    <n v="5"/>
    <n v="0"/>
    <x v="149"/>
    <n v="121655.12"/>
    <x v="149"/>
    <s v="Achive"/>
  </r>
  <r>
    <n v="800509"/>
    <s v="01-07-2024"/>
    <x v="0"/>
    <s v="West Bengal"/>
    <s v="Kolkata"/>
    <s v="Corporate/Fleet Sale"/>
    <s v="Sunrise Tata Showroom"/>
    <s v="Tata Motors"/>
    <s v="PV - ICE"/>
    <x v="4"/>
    <s v="XM"/>
    <s v="Amit Sharma"/>
    <n v="2"/>
    <x v="2"/>
    <n v="815176.88"/>
    <n v="2"/>
    <n v="0"/>
    <x v="150"/>
    <n v="32607.08"/>
    <x v="150"/>
    <s v="Not achive"/>
  </r>
  <r>
    <n v="800458"/>
    <s v="02-07-2024"/>
    <x v="3"/>
    <s v="Maharashtra"/>
    <s v="Nagpur"/>
    <s v="Company Showroom"/>
    <s v="Sai Service Tata"/>
    <s v="Tata Motors"/>
    <s v="PV - ICE"/>
    <x v="14"/>
    <s v="XT"/>
    <s v="Rohit Verma"/>
    <n v="2"/>
    <x v="12"/>
    <n v="654230.26"/>
    <n v="12.5"/>
    <n v="0"/>
    <x v="151"/>
    <n v="163557.57"/>
    <x v="151"/>
    <s v="Not achive"/>
  </r>
  <r>
    <n v="800465"/>
    <s v="02-07-2024"/>
    <x v="1"/>
    <s v="Telangana"/>
    <s v="Warangal"/>
    <s v="Corporate/Fleet Sale"/>
    <s v="Om Sai Auto Hub"/>
    <s v="Tata Motors"/>
    <s v="PV - EV"/>
    <x v="12"/>
    <s v="XZ+"/>
    <s v="Suresh Kumar"/>
    <n v="3"/>
    <x v="10"/>
    <n v="1247664.6499999999"/>
    <n v="12.5"/>
    <n v="0"/>
    <x v="152"/>
    <n v="467874.24"/>
    <x v="152"/>
    <s v="Achive"/>
  </r>
  <r>
    <n v="800547"/>
    <s v="04-07-2024"/>
    <x v="3"/>
    <s v="Maharashtra"/>
    <s v="Nashik"/>
    <s v="Company Showroom"/>
    <s v="Statesman Cars"/>
    <s v="Tata Motors"/>
    <s v="PV - ICE"/>
    <x v="6"/>
    <s v="Pure"/>
    <s v="Anjali Rao"/>
    <n v="2"/>
    <x v="4"/>
    <n v="699108.38"/>
    <n v="12.5"/>
    <n v="0"/>
    <x v="153"/>
    <n v="174777.1"/>
    <x v="153"/>
    <s v="Not achive"/>
  </r>
  <r>
    <n v="800366"/>
    <s v="05-07-2024"/>
    <x v="1"/>
    <s v="Telangana"/>
    <s v="Warangal"/>
    <s v="Exchange Program"/>
    <s v="Landmark Motors"/>
    <s v="Tata Motors"/>
    <s v="PV - EV"/>
    <x v="11"/>
    <s v="Creative"/>
    <s v="Priya Nair"/>
    <n v="1"/>
    <x v="9"/>
    <n v="1766699.17"/>
    <n v="5"/>
    <n v="0"/>
    <x v="154"/>
    <n v="88334.96"/>
    <x v="154"/>
    <s v="Not achive"/>
  </r>
  <r>
    <n v="800629"/>
    <s v="05-07-2024"/>
    <x v="2"/>
    <s v="Delhi"/>
    <s v="Dwarka"/>
    <s v="Corporate/Fleet Sale"/>
    <s v="Big Wheels Auto"/>
    <s v="Tata Motors"/>
    <s v="PV - EV"/>
    <x v="12"/>
    <s v="XZ+"/>
    <s v="Priya Nair"/>
    <n v="3"/>
    <x v="10"/>
    <n v="1262989.6299999999"/>
    <n v="7.5"/>
    <n v="0"/>
    <x v="155"/>
    <n v="284172.67"/>
    <x v="155"/>
    <s v="Achive"/>
  </r>
  <r>
    <n v="800406"/>
    <s v="06-07-2024"/>
    <x v="2"/>
    <s v="Punjab"/>
    <s v="Ludhiana"/>
    <s v="Corporate/Fleet Sale"/>
    <s v="Landmark Motors"/>
    <s v="Tata Motors"/>
    <s v="CV - SCV"/>
    <x v="1"/>
    <s v="CNG"/>
    <s v="Rohit Verma"/>
    <n v="5"/>
    <x v="1"/>
    <n v="539858.42000000004"/>
    <n v="0"/>
    <n v="0"/>
    <x v="156"/>
    <n v="0"/>
    <x v="156"/>
    <s v="Achive"/>
  </r>
  <r>
    <n v="800609"/>
    <s v="06-07-2024"/>
    <x v="1"/>
    <s v="Kerala"/>
    <s v="Thiruvananthapuram"/>
    <s v="Online Booking"/>
    <s v="Statesman Cars"/>
    <s v="Tata Motors"/>
    <s v="PV - EV"/>
    <x v="8"/>
    <s v="Creative"/>
    <s v="Karan Mehta"/>
    <n v="1"/>
    <x v="6"/>
    <n v="1529640.56"/>
    <n v="5"/>
    <n v="0"/>
    <x v="157"/>
    <n v="76482.03"/>
    <x v="157"/>
    <s v="Not achive"/>
  </r>
  <r>
    <n v="800017"/>
    <s v="07-07-2024"/>
    <x v="3"/>
    <s v="Gujarat"/>
    <s v="Ahmedabad"/>
    <s v="Online Booking"/>
    <s v="Prerna Automobiles"/>
    <s v="Tata Motors"/>
    <s v="PV - EV"/>
    <x v="11"/>
    <s v="Creative"/>
    <s v="Karan Mehta"/>
    <n v="3"/>
    <x v="9"/>
    <n v="1788540.39"/>
    <n v="12.5"/>
    <n v="0"/>
    <x v="158"/>
    <n v="670702.65"/>
    <x v="158"/>
    <s v="Achive"/>
  </r>
  <r>
    <n v="800190"/>
    <s v="07-07-2024"/>
    <x v="3"/>
    <s v="Gujarat"/>
    <s v="Vadodara"/>
    <s v="Corporate/Fleet Sale"/>
    <s v="Prerna Automobiles"/>
    <s v="Tata Motors"/>
    <s v="PV - ICE"/>
    <x v="10"/>
    <s v="Fearless+"/>
    <s v="Amit Sharma"/>
    <n v="2"/>
    <x v="8"/>
    <n v="961738.84"/>
    <n v="0"/>
    <n v="0"/>
    <x v="159"/>
    <n v="0"/>
    <x v="159"/>
    <s v="Not achive"/>
  </r>
  <r>
    <n v="800331"/>
    <s v="07-07-2024"/>
    <x v="0"/>
    <s v="Bihar"/>
    <s v="Gaya"/>
    <s v="Authorized Dealer"/>
    <s v="Sunrise Tata Showroom"/>
    <s v="Tata Motors"/>
    <s v="PV - EV"/>
    <x v="12"/>
    <s v="XE"/>
    <s v="Vikas Yadav"/>
    <n v="1"/>
    <x v="10"/>
    <n v="1270638.52"/>
    <n v="10"/>
    <n v="0"/>
    <x v="160"/>
    <n v="127063.85"/>
    <x v="160"/>
    <s v="Not achive"/>
  </r>
  <r>
    <n v="800424"/>
    <s v="07-07-2024"/>
    <x v="2"/>
    <s v="Haryana"/>
    <s v="Gurugram"/>
    <s v="Authorized Dealer"/>
    <s v="Sunrise Tata Showroom"/>
    <s v="Tata Motors"/>
    <s v="PV - ICE"/>
    <x v="0"/>
    <s v="XE"/>
    <s v="Divya Pillai"/>
    <n v="1"/>
    <x v="0"/>
    <n v="731295.94"/>
    <n v="2"/>
    <n v="0"/>
    <x v="161"/>
    <n v="14625.92"/>
    <x v="161"/>
    <s v="Not achive"/>
  </r>
  <r>
    <n v="800608"/>
    <s v="07-07-2024"/>
    <x v="3"/>
    <s v="Rajasthan"/>
    <s v="Jaipur"/>
    <s v="Authorized Dealer"/>
    <s v="Sai Service Tata"/>
    <s v="Tata Motors"/>
    <s v="PV - EV"/>
    <x v="11"/>
    <s v="Accomplished"/>
    <s v="Priya Nair"/>
    <n v="3"/>
    <x v="9"/>
    <n v="1790473.41"/>
    <n v="2"/>
    <n v="0"/>
    <x v="162"/>
    <n v="107428.4"/>
    <x v="162"/>
    <s v="Achive"/>
  </r>
  <r>
    <n v="800036"/>
    <s v="08-07-2024"/>
    <x v="1"/>
    <s v="Kerala"/>
    <s v="Kochi"/>
    <s v="Corporate/Fleet Sale"/>
    <s v="Om Sai Auto Hub"/>
    <s v="Tata Motors"/>
    <s v="PV - EV"/>
    <x v="5"/>
    <s v="Empowered"/>
    <s v="Sneha Kapoor"/>
    <n v="2"/>
    <x v="3"/>
    <n v="1188144.02"/>
    <n v="5"/>
    <n v="0"/>
    <x v="163"/>
    <n v="118814.39999999999"/>
    <x v="163"/>
    <s v="Achive"/>
  </r>
  <r>
    <n v="800340"/>
    <s v="09-07-2024"/>
    <x v="2"/>
    <s v="Haryana"/>
    <s v="Faridabad"/>
    <s v="Exchange Program"/>
    <s v="Capital Cars"/>
    <s v="Tata Motors"/>
    <s v="CV - Pickup"/>
    <x v="2"/>
    <s v="Base"/>
    <s v="Neha Singh"/>
    <n v="5"/>
    <x v="2"/>
    <n v="797864.61"/>
    <n v="2"/>
    <n v="0"/>
    <x v="164"/>
    <n v="79786.460000000006"/>
    <x v="164"/>
    <s v="Achive"/>
  </r>
  <r>
    <n v="800468"/>
    <s v="09-07-2024"/>
    <x v="1"/>
    <s v="Kerala"/>
    <s v="Thiruvananthapuram"/>
    <s v="Authorized Dealer"/>
    <s v="Concorde Tata"/>
    <s v="Tata Motors"/>
    <s v="PV - ICE"/>
    <x v="7"/>
    <s v="Pure"/>
    <s v="Neha Singh"/>
    <n v="2"/>
    <x v="5"/>
    <n v="1710573.71"/>
    <n v="0"/>
    <n v="0"/>
    <x v="165"/>
    <n v="0"/>
    <x v="165"/>
    <s v="Achive"/>
  </r>
  <r>
    <n v="800222"/>
    <s v="10-07-2024"/>
    <x v="0"/>
    <s v="Bihar"/>
    <s v="Patna"/>
    <s v="Company Showroom"/>
    <s v="Sunrise Tata Showroom"/>
    <s v="Tata Motors"/>
    <s v="CV - SCV"/>
    <x v="1"/>
    <s v="Base"/>
    <s v="Karan Mehta"/>
    <n v="1"/>
    <x v="1"/>
    <n v="555486.31000000006"/>
    <n v="0"/>
    <n v="0"/>
    <x v="166"/>
    <n v="0"/>
    <x v="166"/>
    <s v="Not achive"/>
  </r>
  <r>
    <n v="800575"/>
    <s v="11-07-2024"/>
    <x v="2"/>
    <s v="Delhi"/>
    <s v="New Delhi"/>
    <s v="Online Booking"/>
    <s v="Metro Tata Motors"/>
    <s v="Tata Motors"/>
    <s v="PV - ICE"/>
    <x v="13"/>
    <s v="Accomplished+"/>
    <s v="Amit Sharma"/>
    <n v="3"/>
    <x v="11"/>
    <n v="1930902.58"/>
    <n v="0"/>
    <n v="0"/>
    <x v="167"/>
    <n v="0"/>
    <x v="167"/>
    <s v="Achive"/>
  </r>
  <r>
    <n v="800605"/>
    <s v="11-07-2024"/>
    <x v="3"/>
    <s v="Rajasthan"/>
    <s v="Jodhpur"/>
    <s v="Corporate/Fleet Sale"/>
    <s v="Capital Cars"/>
    <s v="Tata Motors"/>
    <s v="PV - ICE"/>
    <x v="3"/>
    <s v="Accomplished"/>
    <s v="Suresh Kumar"/>
    <n v="2"/>
    <x v="3"/>
    <n v="1174408.74"/>
    <n v="7.5"/>
    <n v="0"/>
    <x v="168"/>
    <n v="176161.31"/>
    <x v="168"/>
    <s v="Achive"/>
  </r>
  <r>
    <n v="800387"/>
    <s v="12-07-2024"/>
    <x v="2"/>
    <s v="Uttar Pradesh"/>
    <s v="Noida"/>
    <s v="Corporate/Fleet Sale"/>
    <s v="Big Wheels Auto"/>
    <s v="Tata Motors"/>
    <s v="PV - ICE"/>
    <x v="6"/>
    <s v="Creative+"/>
    <s v="Rohit Verma"/>
    <n v="1"/>
    <x v="4"/>
    <n v="712149.13"/>
    <n v="2"/>
    <n v="0"/>
    <x v="169"/>
    <n v="14242.98"/>
    <x v="169"/>
    <s v="Not achive"/>
  </r>
  <r>
    <n v="800027"/>
    <s v="14-07-2024"/>
    <x v="2"/>
    <s v="Haryana"/>
    <s v="Gurugram"/>
    <s v="Company Showroom"/>
    <s v="Sunrise Tata Showroom"/>
    <s v="Tata Motors"/>
    <s v="PV - ICE"/>
    <x v="0"/>
    <s v="XE"/>
    <s v="Divya Pillai"/>
    <n v="1"/>
    <x v="0"/>
    <n v="737713.06"/>
    <n v="2"/>
    <n v="0"/>
    <x v="170"/>
    <n v="14754.26"/>
    <x v="170"/>
    <s v="Not achive"/>
  </r>
  <r>
    <n v="800539"/>
    <s v="14-07-2024"/>
    <x v="0"/>
    <s v="West Bengal"/>
    <s v="Howrah"/>
    <s v="Exchange Program"/>
    <s v="Landmark Motors"/>
    <s v="Tata Motors"/>
    <s v="PV - ICE"/>
    <x v="10"/>
    <s v="Creative"/>
    <s v="Suresh Kumar"/>
    <n v="3"/>
    <x v="8"/>
    <n v="948042.55"/>
    <n v="0"/>
    <n v="0"/>
    <x v="171"/>
    <n v="0"/>
    <x v="171"/>
    <s v="Achive"/>
  </r>
  <r>
    <n v="800523"/>
    <s v="15-07-2024"/>
    <x v="2"/>
    <s v="Delhi"/>
    <s v="New Delhi"/>
    <s v="Authorized Dealer"/>
    <s v="Sai Service Tata"/>
    <s v="Tata Motors"/>
    <s v="PV - ICE"/>
    <x v="7"/>
    <s v="Fearless+"/>
    <s v="Rohit Verma"/>
    <n v="2"/>
    <x v="5"/>
    <n v="1707947.8"/>
    <n v="12.5"/>
    <n v="0"/>
    <x v="172"/>
    <n v="426986.95"/>
    <x v="172"/>
    <s v="Achive"/>
  </r>
  <r>
    <n v="800392"/>
    <s v="17-07-2024"/>
    <x v="1"/>
    <s v="Kerala"/>
    <s v="Kochi"/>
    <s v="Exchange Program"/>
    <s v="Sunrise Tata Showroom"/>
    <s v="Tata Motors"/>
    <s v="PV - ICE"/>
    <x v="6"/>
    <s v="Adventure"/>
    <s v="Priya Nair"/>
    <n v="3"/>
    <x v="4"/>
    <n v="691008.38"/>
    <n v="0"/>
    <n v="0"/>
    <x v="173"/>
    <n v="0"/>
    <x v="173"/>
    <s v="Achive"/>
  </r>
  <r>
    <n v="800639"/>
    <s v="17-07-2024"/>
    <x v="0"/>
    <s v="Bihar"/>
    <s v="Patna"/>
    <s v="Company Showroom"/>
    <s v="Statesman Cars"/>
    <s v="Tata Motors"/>
    <s v="PV - EV"/>
    <x v="12"/>
    <s v="XZ+"/>
    <s v="Amit Sharma"/>
    <n v="2"/>
    <x v="10"/>
    <n v="1271440.92"/>
    <n v="12.5"/>
    <n v="0"/>
    <x v="174"/>
    <n v="317860.23"/>
    <x v="174"/>
    <s v="Achive"/>
  </r>
  <r>
    <n v="800025"/>
    <s v="19-07-2024"/>
    <x v="3"/>
    <s v="Rajasthan"/>
    <s v="Jodhpur"/>
    <s v="Online Booking"/>
    <s v="Big Wheels Auto"/>
    <s v="Tata Motors"/>
    <s v="CV - Pickup"/>
    <x v="9"/>
    <s v="Base"/>
    <s v="Anjali Rao"/>
    <n v="4"/>
    <x v="7"/>
    <n v="1001057.96"/>
    <n v="0"/>
    <n v="0"/>
    <x v="175"/>
    <n v="0"/>
    <x v="175"/>
    <s v="Achive"/>
  </r>
  <r>
    <n v="800241"/>
    <s v="19-07-2024"/>
    <x v="1"/>
    <s v="Karnataka"/>
    <s v="Mysuru"/>
    <s v="Company Showroom"/>
    <s v="Reliance Trishakti"/>
    <s v="Tata Motors"/>
    <s v="PV - ICE"/>
    <x v="7"/>
    <s v="Smart"/>
    <s v="Amit Sharma"/>
    <n v="3"/>
    <x v="5"/>
    <n v="1696879.75"/>
    <n v="0"/>
    <n v="0"/>
    <x v="176"/>
    <n v="0"/>
    <x v="176"/>
    <s v="Achive"/>
  </r>
  <r>
    <n v="800347"/>
    <s v="19-07-2024"/>
    <x v="3"/>
    <s v="Gujarat"/>
    <s v="Ahmedabad"/>
    <s v="Authorized Dealer"/>
    <s v="Concorde Tata"/>
    <s v="Tata Motors"/>
    <s v="PV - ICE"/>
    <x v="4"/>
    <s v="XZ+"/>
    <s v="Divya Pillai"/>
    <n v="1"/>
    <x v="2"/>
    <n v="801077.32"/>
    <n v="2"/>
    <n v="0"/>
    <x v="177"/>
    <n v="16021.55"/>
    <x v="177"/>
    <s v="Not achive"/>
  </r>
  <r>
    <n v="800369"/>
    <s v="20-07-2024"/>
    <x v="2"/>
    <s v="Uttar Pradesh"/>
    <s v="Agra"/>
    <s v="Company Showroom"/>
    <s v="Om Sai Auto Hub"/>
    <s v="Tata Motors"/>
    <s v="PV - EV"/>
    <x v="8"/>
    <s v="Empowered"/>
    <s v="Karan Mehta"/>
    <n v="3"/>
    <x v="6"/>
    <n v="1456396.5"/>
    <n v="5"/>
    <n v="0"/>
    <x v="178"/>
    <n v="218459.48"/>
    <x v="178"/>
    <s v="Achive"/>
  </r>
  <r>
    <n v="800040"/>
    <s v="22-07-2024"/>
    <x v="0"/>
    <s v="West Bengal"/>
    <s v="Kolkata"/>
    <s v="Online Booking"/>
    <s v="Capital Cars"/>
    <s v="Tata Motors"/>
    <s v="PV - EV"/>
    <x v="8"/>
    <s v="Creative"/>
    <s v="Suresh Kumar"/>
    <n v="3"/>
    <x v="6"/>
    <n v="1506571.68"/>
    <n v="0"/>
    <n v="0"/>
    <x v="179"/>
    <n v="0"/>
    <x v="179"/>
    <s v="Achive"/>
  </r>
  <r>
    <n v="800227"/>
    <s v="22-07-2024"/>
    <x v="0"/>
    <s v="West Bengal"/>
    <s v="Howrah"/>
    <s v="Online Booking"/>
    <s v="Sai Service Tata"/>
    <s v="Tata Motors"/>
    <s v="CV - Pickup"/>
    <x v="2"/>
    <s v="AC Cabin"/>
    <s v="Priya Nair"/>
    <n v="2"/>
    <x v="2"/>
    <n v="779306.83"/>
    <n v="0"/>
    <n v="0"/>
    <x v="180"/>
    <n v="0"/>
    <x v="180"/>
    <s v="Not achive"/>
  </r>
  <r>
    <n v="800270"/>
    <s v="22-07-2024"/>
    <x v="1"/>
    <s v="Karnataka"/>
    <s v="Hubli"/>
    <s v="Authorized Dealer"/>
    <s v="Prerna Automobiles"/>
    <s v="Tata Motors"/>
    <s v="PV - ICE"/>
    <x v="7"/>
    <s v="Smart"/>
    <s v="Rohit Verma"/>
    <n v="3"/>
    <x v="5"/>
    <n v="1718384.24"/>
    <n v="0"/>
    <n v="0"/>
    <x v="181"/>
    <n v="0"/>
    <x v="181"/>
    <s v="Achive"/>
  </r>
  <r>
    <n v="800304"/>
    <s v="23-07-2024"/>
    <x v="0"/>
    <s v="West Bengal"/>
    <s v="Howrah"/>
    <s v="Online Booking"/>
    <s v="Metro Tata Motors"/>
    <s v="Tata Motors"/>
    <s v="PV - EV"/>
    <x v="8"/>
    <s v="Empowered"/>
    <s v="Anjali Rao"/>
    <n v="3"/>
    <x v="6"/>
    <n v="1508105.17"/>
    <n v="2"/>
    <n v="0"/>
    <x v="182"/>
    <n v="90486.31"/>
    <x v="182"/>
    <s v="Achive"/>
  </r>
  <r>
    <n v="800422"/>
    <s v="23-07-2024"/>
    <x v="3"/>
    <s v="Maharashtra"/>
    <s v="Pune"/>
    <s v="Company Showroom"/>
    <s v="Concorde Tata"/>
    <s v="Tata Motors"/>
    <s v="PV - ICE"/>
    <x v="14"/>
    <s v="XZ+"/>
    <s v="Sneha Kapoor"/>
    <n v="3"/>
    <x v="12"/>
    <n v="646422.06000000006"/>
    <n v="5"/>
    <n v="1"/>
    <x v="183"/>
    <n v="96963.31"/>
    <x v="183"/>
    <s v="Not achive"/>
  </r>
  <r>
    <n v="800104"/>
    <s v="24-07-2024"/>
    <x v="1"/>
    <s v="Telangana"/>
    <s v="Hyderabad"/>
    <s v="Corporate/Fleet Sale"/>
    <s v="National Tata Dealership"/>
    <s v="Tata Motors"/>
    <s v="PV - EV"/>
    <x v="5"/>
    <s v="Adventure"/>
    <s v="Amit Sharma"/>
    <n v="3"/>
    <x v="3"/>
    <n v="1194444.75"/>
    <n v="0"/>
    <n v="0"/>
    <x v="184"/>
    <n v="0"/>
    <x v="184"/>
    <s v="Achive"/>
  </r>
  <r>
    <n v="800360"/>
    <s v="24-07-2024"/>
    <x v="2"/>
    <s v="Punjab"/>
    <s v="Jalandhar"/>
    <s v="Company Showroom"/>
    <s v="Landmark Motors"/>
    <s v="Tata Motors"/>
    <s v="PV - EV"/>
    <x v="11"/>
    <s v="Accomplished"/>
    <s v="Divya Pillai"/>
    <n v="3"/>
    <x v="9"/>
    <n v="1788489.36"/>
    <n v="0"/>
    <n v="0"/>
    <x v="185"/>
    <n v="0"/>
    <x v="185"/>
    <s v="Achive"/>
  </r>
  <r>
    <n v="800089"/>
    <s v="25-07-2024"/>
    <x v="3"/>
    <s v="Gujarat"/>
    <s v="Surat"/>
    <s v="Corporate/Fleet Sale"/>
    <s v="Sai Service Tata"/>
    <s v="Tata Motors"/>
    <s v="CV - Pickup"/>
    <x v="2"/>
    <s v="AC Cabin"/>
    <s v="Amit Sharma"/>
    <n v="4"/>
    <x v="2"/>
    <n v="814515.73"/>
    <n v="0"/>
    <n v="0"/>
    <x v="186"/>
    <n v="0"/>
    <x v="186"/>
    <s v="Achive"/>
  </r>
  <r>
    <n v="800032"/>
    <s v="26-07-2024"/>
    <x v="3"/>
    <s v="Gujarat"/>
    <s v="Vadodara"/>
    <s v="Authorized Dealer"/>
    <s v="Metro Tata Motors"/>
    <s v="Tata Motors"/>
    <s v="CV - Pickup"/>
    <x v="2"/>
    <s v="Base"/>
    <s v="Priya Nair"/>
    <n v="2"/>
    <x v="2"/>
    <n v="783982.91"/>
    <n v="12.5"/>
    <n v="0"/>
    <x v="187"/>
    <n v="195995.73"/>
    <x v="187"/>
    <s v="Not achive"/>
  </r>
  <r>
    <n v="800101"/>
    <s v="26-07-2024"/>
    <x v="1"/>
    <s v="Telangana"/>
    <s v="Warangal"/>
    <s v="Online Booking"/>
    <s v="Om Sai Auto Hub"/>
    <s v="Tata Motors"/>
    <s v="PV - EV"/>
    <x v="12"/>
    <s v="XZ+"/>
    <s v="Amit Sharma"/>
    <n v="3"/>
    <x v="10"/>
    <n v="1219650.8799999999"/>
    <n v="2"/>
    <n v="0"/>
    <x v="188"/>
    <n v="73179.05"/>
    <x v="188"/>
    <s v="Achive"/>
  </r>
  <r>
    <n v="800086"/>
    <s v="27-07-2024"/>
    <x v="1"/>
    <s v="Tamil Nadu"/>
    <s v="Coimbatore"/>
    <s v="Corporate/Fleet Sale"/>
    <s v="Landmark Motors"/>
    <s v="Tata Motors"/>
    <s v="PV - EV"/>
    <x v="12"/>
    <s v="XE"/>
    <s v="Karan Mehta"/>
    <n v="3"/>
    <x v="10"/>
    <n v="1243545.46"/>
    <n v="5"/>
    <n v="0"/>
    <x v="189"/>
    <n v="186531.82"/>
    <x v="189"/>
    <s v="Achive"/>
  </r>
  <r>
    <n v="800385"/>
    <s v="27-07-2024"/>
    <x v="0"/>
    <s v="Odisha"/>
    <s v="Cuttack"/>
    <s v="Online Booking"/>
    <s v="Concorde Tata"/>
    <s v="Tata Motors"/>
    <s v="PV - EV"/>
    <x v="5"/>
    <s v="Smart"/>
    <s v="Sneha Kapoor"/>
    <n v="3"/>
    <x v="3"/>
    <n v="1211319.3600000001"/>
    <n v="2"/>
    <n v="0"/>
    <x v="190"/>
    <n v="72679.16"/>
    <x v="190"/>
    <s v="Achive"/>
  </r>
  <r>
    <n v="800544"/>
    <s v="28-07-2024"/>
    <x v="3"/>
    <s v="Gujarat"/>
    <s v="Surat"/>
    <s v="Online Booking"/>
    <s v="Capital Cars"/>
    <s v="Tata Motors"/>
    <s v="PV - ICE"/>
    <x v="13"/>
    <s v="Accomplished+"/>
    <s v="Anjali Rao"/>
    <n v="2"/>
    <x v="11"/>
    <n v="1860960.76"/>
    <n v="0"/>
    <n v="0"/>
    <x v="191"/>
    <n v="0"/>
    <x v="191"/>
    <s v="Achive"/>
  </r>
  <r>
    <n v="800077"/>
    <s v="29-07-2024"/>
    <x v="0"/>
    <s v="West Bengal"/>
    <s v="Howrah"/>
    <s v="Exchange Program"/>
    <s v="Om Sai Auto Hub"/>
    <s v="Tata Motors"/>
    <s v="PV - EV"/>
    <x v="8"/>
    <s v="Fearless"/>
    <s v="Neha Singh"/>
    <n v="1"/>
    <x v="6"/>
    <n v="1528558.1"/>
    <n v="2"/>
    <n v="0"/>
    <x v="192"/>
    <n v="30571.16"/>
    <x v="192"/>
    <s v="Not achive"/>
  </r>
  <r>
    <n v="800287"/>
    <s v="30-07-2024"/>
    <x v="0"/>
    <s v="Odisha"/>
    <s v="Cuttack"/>
    <s v="Exchange Program"/>
    <s v="Landmark Motors"/>
    <s v="Tata Motors"/>
    <s v="CV - Pickup"/>
    <x v="2"/>
    <s v="AC Cabin"/>
    <s v="Divya Pillai"/>
    <n v="4"/>
    <x v="2"/>
    <n v="814625.11"/>
    <n v="12.5"/>
    <n v="0"/>
    <x v="193"/>
    <n v="407312.55"/>
    <x v="193"/>
    <s v="Achive"/>
  </r>
  <r>
    <n v="800400"/>
    <s v="30-07-2024"/>
    <x v="0"/>
    <s v="West Bengal"/>
    <s v="Howrah"/>
    <s v="Corporate/Fleet Sale"/>
    <s v="Sai Service Tata"/>
    <s v="Tata Motors"/>
    <s v="PV - EV"/>
    <x v="12"/>
    <s v="XZ+"/>
    <s v="Sneha Kapoor"/>
    <n v="1"/>
    <x v="10"/>
    <n v="1223992.8899999999"/>
    <n v="0"/>
    <n v="0"/>
    <x v="194"/>
    <n v="0"/>
    <x v="194"/>
    <s v="Not achive"/>
  </r>
  <r>
    <n v="800192"/>
    <s v="01-08-2024"/>
    <x v="1"/>
    <s v="Tamil Nadu"/>
    <s v="Chennai"/>
    <s v="Company Showroom"/>
    <s v="Sai Service Tata"/>
    <s v="Tata Motors"/>
    <s v="PV - ICE"/>
    <x v="0"/>
    <s v="XZ+"/>
    <s v="Priya Nair"/>
    <n v="1"/>
    <x v="0"/>
    <n v="753585.99"/>
    <n v="2"/>
    <n v="0"/>
    <x v="195"/>
    <n v="15071.72"/>
    <x v="195"/>
    <s v="Not achive"/>
  </r>
  <r>
    <n v="800407"/>
    <s v="01-08-2024"/>
    <x v="0"/>
    <s v="Odisha"/>
    <s v="Bhubaneswar"/>
    <s v="Online Booking"/>
    <s v="Prerna Automobiles"/>
    <s v="Tata Motors"/>
    <s v="PV - ICE"/>
    <x v="4"/>
    <s v="XZ+"/>
    <s v="Sneha Kapoor"/>
    <n v="2"/>
    <x v="2"/>
    <n v="784823.7"/>
    <n v="0"/>
    <n v="0"/>
    <x v="196"/>
    <n v="0"/>
    <x v="196"/>
    <s v="Not achive"/>
  </r>
  <r>
    <n v="800155"/>
    <s v="02-08-2024"/>
    <x v="1"/>
    <s v="Karnataka"/>
    <s v="Hubli"/>
    <s v="Online Booking"/>
    <s v="Om Sai Auto Hub"/>
    <s v="Tata Motors"/>
    <s v="PV - ICE"/>
    <x v="3"/>
    <s v="Creative"/>
    <s v="Rohit Verma"/>
    <n v="2"/>
    <x v="3"/>
    <n v="1165390.58"/>
    <n v="10"/>
    <n v="0"/>
    <x v="197"/>
    <n v="233078.12"/>
    <x v="197"/>
    <s v="Achive"/>
  </r>
  <r>
    <n v="800504"/>
    <s v="02-08-2024"/>
    <x v="1"/>
    <s v="Telangana"/>
    <s v="Warangal"/>
    <s v="Corporate/Fleet Sale"/>
    <s v="Sunrise Tata Showroom"/>
    <s v="Tata Motors"/>
    <s v="PV - EV"/>
    <x v="5"/>
    <s v="Smart"/>
    <s v="Rohit Verma"/>
    <n v="3"/>
    <x v="3"/>
    <n v="1199050.6100000001"/>
    <n v="12.5"/>
    <n v="0"/>
    <x v="198"/>
    <n v="449643.98"/>
    <x v="198"/>
    <s v="Achive"/>
  </r>
  <r>
    <n v="800438"/>
    <s v="03-08-2024"/>
    <x v="3"/>
    <s v="Gujarat"/>
    <s v="Vadodara"/>
    <s v="Company Showroom"/>
    <s v="Prerna Automobiles"/>
    <s v="Tata Motors"/>
    <s v="PV - ICE"/>
    <x v="7"/>
    <s v="Pure"/>
    <s v="Suresh Kumar"/>
    <n v="3"/>
    <x v="5"/>
    <n v="1721484.95"/>
    <n v="0"/>
    <n v="0"/>
    <x v="199"/>
    <n v="0"/>
    <x v="199"/>
    <s v="Achive"/>
  </r>
  <r>
    <n v="800451"/>
    <s v="05-08-2024"/>
    <x v="1"/>
    <s v="Telangana"/>
    <s v="Hyderabad"/>
    <s v="Company Showroom"/>
    <s v="Prerna Automobiles"/>
    <s v="Tata Motors"/>
    <s v="PV - ICE"/>
    <x v="0"/>
    <s v="XE"/>
    <s v="Priya Nair"/>
    <n v="3"/>
    <x v="0"/>
    <n v="745872.86"/>
    <n v="7.5"/>
    <n v="0"/>
    <x v="200"/>
    <n v="167821.39"/>
    <x v="200"/>
    <s v="Achive"/>
  </r>
  <r>
    <n v="800062"/>
    <s v="06-08-2024"/>
    <x v="0"/>
    <s v="Bihar"/>
    <s v="Patna"/>
    <s v="Online Booking"/>
    <s v="Capital Cars"/>
    <s v="Tata Motors"/>
    <s v="PV - ICE"/>
    <x v="0"/>
    <s v="XZ+"/>
    <s v="Anjali Rao"/>
    <n v="1"/>
    <x v="0"/>
    <n v="733094.91"/>
    <n v="5"/>
    <n v="0"/>
    <x v="201"/>
    <n v="36654.75"/>
    <x v="201"/>
    <s v="Not achive"/>
  </r>
  <r>
    <n v="800253"/>
    <s v="06-08-2024"/>
    <x v="3"/>
    <s v="Maharashtra"/>
    <s v="Pune"/>
    <s v="Corporate/Fleet Sale"/>
    <s v="Metro Tata Motors"/>
    <s v="Tata Motors"/>
    <s v="CV - Pickup"/>
    <x v="9"/>
    <s v="Base"/>
    <s v="Suresh Kumar"/>
    <n v="1"/>
    <x v="7"/>
    <n v="997643.24"/>
    <n v="10"/>
    <n v="0"/>
    <x v="202"/>
    <n v="99764.32"/>
    <x v="202"/>
    <s v="Not achive"/>
  </r>
  <r>
    <n v="800411"/>
    <s v="07-08-2024"/>
    <x v="2"/>
    <s v="Haryana"/>
    <s v="Gurugram"/>
    <s v="Company Showroom"/>
    <s v="Landmark Motors"/>
    <s v="Tata Motors"/>
    <s v="PV - EV"/>
    <x v="5"/>
    <s v="Adventure"/>
    <s v="Amit Sharma"/>
    <n v="3"/>
    <x v="3"/>
    <n v="1192208.81"/>
    <n v="2"/>
    <n v="0"/>
    <x v="203"/>
    <n v="71532.53"/>
    <x v="203"/>
    <s v="Achive"/>
  </r>
  <r>
    <n v="800061"/>
    <s v="08-08-2024"/>
    <x v="3"/>
    <s v="Rajasthan"/>
    <s v="Jodhpur"/>
    <s v="Authorized Dealer"/>
    <s v="Landmark Motors"/>
    <s v="Tata Motors"/>
    <s v="PV - EV"/>
    <x v="12"/>
    <s v="XZ+"/>
    <s v="Priya Nair"/>
    <n v="2"/>
    <x v="10"/>
    <n v="1240029.3"/>
    <n v="0"/>
    <n v="0"/>
    <x v="204"/>
    <n v="0"/>
    <x v="204"/>
    <s v="Achive"/>
  </r>
  <r>
    <n v="800567"/>
    <s v="08-08-2024"/>
    <x v="2"/>
    <s v="Delhi"/>
    <s v="New Delhi"/>
    <s v="Online Booking"/>
    <s v="Metro Tata Motors"/>
    <s v="Tata Motors"/>
    <s v="PV - ICE"/>
    <x v="14"/>
    <s v="XE"/>
    <s v="Amit Sharma"/>
    <n v="1"/>
    <x v="12"/>
    <n v="656274.29"/>
    <n v="0"/>
    <n v="0"/>
    <x v="205"/>
    <n v="0"/>
    <x v="205"/>
    <s v="Not achive"/>
  </r>
  <r>
    <n v="800395"/>
    <s v="09-08-2024"/>
    <x v="1"/>
    <s v="Telangana"/>
    <s v="Warangal"/>
    <s v="Corporate/Fleet Sale"/>
    <s v="Om Sai Auto Hub"/>
    <s v="Tata Motors"/>
    <s v="CV - Pickup"/>
    <x v="2"/>
    <s v="Base"/>
    <s v="Sneha Kapoor"/>
    <n v="1"/>
    <x v="2"/>
    <n v="803621.73"/>
    <n v="0"/>
    <n v="0"/>
    <x v="206"/>
    <n v="0"/>
    <x v="206"/>
    <s v="Not achive"/>
  </r>
  <r>
    <n v="800427"/>
    <s v="09-08-2024"/>
    <x v="1"/>
    <s v="Kerala"/>
    <s v="Thiruvananthapuram"/>
    <s v="Online Booking"/>
    <s v="Sai Service Tata"/>
    <s v="Tata Motors"/>
    <s v="PV - ICE"/>
    <x v="10"/>
    <s v="Fearless+"/>
    <s v="Vikas Yadav"/>
    <n v="3"/>
    <x v="8"/>
    <n v="947417.25"/>
    <n v="10"/>
    <n v="0"/>
    <x v="207"/>
    <n v="284225.17"/>
    <x v="207"/>
    <s v="Achive"/>
  </r>
  <r>
    <n v="800264"/>
    <s v="11-08-2024"/>
    <x v="2"/>
    <s v="Delhi"/>
    <s v="New Delhi"/>
    <s v="Company Showroom"/>
    <s v="Statesman Cars"/>
    <s v="Tata Motors"/>
    <s v="PV - ICE"/>
    <x v="6"/>
    <s v="Adventure"/>
    <s v="Neha Singh"/>
    <n v="3"/>
    <x v="4"/>
    <n v="701060.41"/>
    <n v="0"/>
    <n v="0"/>
    <x v="208"/>
    <n v="0"/>
    <x v="208"/>
    <s v="Achive"/>
  </r>
  <r>
    <n v="800289"/>
    <s v="11-08-2024"/>
    <x v="3"/>
    <s v="Maharashtra"/>
    <s v="Nagpur"/>
    <s v="Company Showroom"/>
    <s v="Statesman Cars"/>
    <s v="Tata Motors"/>
    <s v="PV - ICE"/>
    <x v="14"/>
    <s v="XT"/>
    <s v="Amit Sharma"/>
    <n v="3"/>
    <x v="12"/>
    <n v="644650.28"/>
    <n v="0"/>
    <n v="0"/>
    <x v="209"/>
    <n v="0"/>
    <x v="209"/>
    <s v="Not achive"/>
  </r>
  <r>
    <n v="800305"/>
    <s v="11-08-2024"/>
    <x v="0"/>
    <s v="Odisha"/>
    <s v="Bhubaneswar"/>
    <s v="Exchange Program"/>
    <s v="Sunrise Tata Showroom"/>
    <s v="Tata Motors"/>
    <s v="CV - Pickup"/>
    <x v="2"/>
    <s v="Base"/>
    <s v="Divya Pillai"/>
    <n v="2"/>
    <x v="2"/>
    <n v="787751.36"/>
    <n v="12.5"/>
    <n v="0"/>
    <x v="210"/>
    <n v="196937.84"/>
    <x v="210"/>
    <s v="Not achive"/>
  </r>
  <r>
    <n v="800047"/>
    <s v="12-08-2024"/>
    <x v="3"/>
    <s v="Rajasthan"/>
    <s v="Jaipur"/>
    <s v="Online Booking"/>
    <s v="National Tata Dealership"/>
    <s v="Tata Motors"/>
    <s v="PV - EV"/>
    <x v="12"/>
    <s v="XE"/>
    <s v="Amit Sharma"/>
    <n v="3"/>
    <x v="10"/>
    <n v="1239288.3"/>
    <n v="12.5"/>
    <n v="0"/>
    <x v="211"/>
    <n v="464733.11"/>
    <x v="211"/>
    <s v="Achive"/>
  </r>
  <r>
    <n v="800545"/>
    <s v="12-08-2024"/>
    <x v="1"/>
    <s v="Telangana"/>
    <s v="Warangal"/>
    <s v="Corporate/Fleet Sale"/>
    <s v="Capital Cars"/>
    <s v="Tata Motors"/>
    <s v="PV - EV"/>
    <x v="12"/>
    <s v="XZ+"/>
    <s v="Priya Nair"/>
    <n v="2"/>
    <x v="10"/>
    <n v="1247953.23"/>
    <n v="5"/>
    <n v="0"/>
    <x v="212"/>
    <n v="124795.32"/>
    <x v="212"/>
    <s v="Achive"/>
  </r>
  <r>
    <n v="800028"/>
    <s v="13-08-2024"/>
    <x v="1"/>
    <s v="Telangana"/>
    <s v="Warangal"/>
    <s v="Authorized Dealer"/>
    <s v="Concorde Tata"/>
    <s v="Tata Motors"/>
    <s v="PV - ICE"/>
    <x v="7"/>
    <s v="Pure"/>
    <s v="Rohit Verma"/>
    <n v="1"/>
    <x v="5"/>
    <n v="1649301.38"/>
    <n v="0"/>
    <n v="0"/>
    <x v="213"/>
    <n v="0"/>
    <x v="213"/>
    <s v="Not achive"/>
  </r>
  <r>
    <n v="800364"/>
    <s v="13-08-2024"/>
    <x v="0"/>
    <s v="West Bengal"/>
    <s v="Howrah"/>
    <s v="Authorized Dealer"/>
    <s v="Landmark Motors"/>
    <s v="Tata Motors"/>
    <s v="PV - ICE"/>
    <x v="7"/>
    <s v="Pure"/>
    <s v="Amit Sharma"/>
    <n v="3"/>
    <x v="5"/>
    <n v="1731317.52"/>
    <n v="5"/>
    <n v="0"/>
    <x v="214"/>
    <n v="259697.63"/>
    <x v="214"/>
    <s v="Achive"/>
  </r>
  <r>
    <n v="800065"/>
    <s v="14-08-2024"/>
    <x v="0"/>
    <s v="Odisha"/>
    <s v="Bhubaneswar"/>
    <s v="Corporate/Fleet Sale"/>
    <s v="Landmark Motors"/>
    <s v="Tata Motors"/>
    <s v="PV - ICE"/>
    <x v="6"/>
    <s v="Adventure"/>
    <s v="Rohit Verma"/>
    <n v="3"/>
    <x v="4"/>
    <n v="709086.24"/>
    <n v="0"/>
    <n v="0"/>
    <x v="215"/>
    <n v="0"/>
    <x v="215"/>
    <s v="Achive"/>
  </r>
  <r>
    <n v="800161"/>
    <s v="14-08-2024"/>
    <x v="0"/>
    <s v="Odisha"/>
    <s v="Bhubaneswar"/>
    <s v="Online Booking"/>
    <s v="Landmark Motors"/>
    <s v="Tata Motors"/>
    <s v="PV - ICE"/>
    <x v="10"/>
    <s v="Creative"/>
    <s v="Amit Sharma"/>
    <n v="2"/>
    <x v="8"/>
    <n v="949225.85"/>
    <n v="0"/>
    <n v="0"/>
    <x v="216"/>
    <n v="0"/>
    <x v="216"/>
    <s v="Not achive"/>
  </r>
  <r>
    <n v="800341"/>
    <s v="14-08-2024"/>
    <x v="1"/>
    <s v="Telangana"/>
    <s v="Hyderabad"/>
    <s v="Authorized Dealer"/>
    <s v="Statesman Cars"/>
    <s v="Tata Motors"/>
    <s v="PV - ICE"/>
    <x v="4"/>
    <s v="XZ+"/>
    <s v="Divya Pillai"/>
    <n v="1"/>
    <x v="2"/>
    <n v="791087.93"/>
    <n v="10"/>
    <n v="0"/>
    <x v="217"/>
    <n v="79108.789999999994"/>
    <x v="217"/>
    <s v="Not achive"/>
  </r>
  <r>
    <n v="800153"/>
    <s v="15-08-2024"/>
    <x v="1"/>
    <s v="Kerala"/>
    <s v="Thiruvananthapuram"/>
    <s v="Online Booking"/>
    <s v="Statesman Cars"/>
    <s v="Tata Motors"/>
    <s v="CV - SCV"/>
    <x v="1"/>
    <s v="CNG"/>
    <s v="Divya Pillai"/>
    <n v="5"/>
    <x v="1"/>
    <n v="536420.06000000006"/>
    <n v="2"/>
    <n v="0"/>
    <x v="218"/>
    <n v="53642.01"/>
    <x v="218"/>
    <s v="Achive"/>
  </r>
  <r>
    <n v="800199"/>
    <s v="15-08-2024"/>
    <x v="2"/>
    <s v="Punjab"/>
    <s v="Amritsar"/>
    <s v="Authorized Dealer"/>
    <s v="Concorde Tata"/>
    <s v="Tata Motors"/>
    <s v="PV - EV"/>
    <x v="11"/>
    <s v="Creative"/>
    <s v="Vikas Yadav"/>
    <n v="1"/>
    <x v="9"/>
    <n v="1801780.28"/>
    <n v="5"/>
    <n v="0"/>
    <x v="219"/>
    <n v="90089.01"/>
    <x v="219"/>
    <s v="Not achive"/>
  </r>
  <r>
    <n v="800540"/>
    <s v="15-08-2024"/>
    <x v="3"/>
    <s v="Gujarat"/>
    <s v="Vadodara"/>
    <s v="Exchange Program"/>
    <s v="Concorde Tata"/>
    <s v="Tata Motors"/>
    <s v="PV - ICE"/>
    <x v="7"/>
    <s v="Pure"/>
    <s v="Karan Mehta"/>
    <n v="3"/>
    <x v="5"/>
    <n v="1666832.49"/>
    <n v="2"/>
    <n v="0"/>
    <x v="220"/>
    <n v="100009.95"/>
    <x v="220"/>
    <s v="Achive"/>
  </r>
  <r>
    <n v="800493"/>
    <s v="16-08-2024"/>
    <x v="0"/>
    <s v="West Bengal"/>
    <s v="Kolkata"/>
    <s v="Company Showroom"/>
    <s v="Metro Tata Motors"/>
    <s v="Tata Motors"/>
    <s v="PV - EV"/>
    <x v="12"/>
    <s v="XE"/>
    <s v="Karan Mehta"/>
    <n v="2"/>
    <x v="10"/>
    <n v="1265425.24"/>
    <n v="2"/>
    <n v="0"/>
    <x v="221"/>
    <n v="50617.01"/>
    <x v="221"/>
    <s v="Achive"/>
  </r>
  <r>
    <n v="800393"/>
    <s v="17-08-2024"/>
    <x v="0"/>
    <s v="Odisha"/>
    <s v="Bhubaneswar"/>
    <s v="Corporate/Fleet Sale"/>
    <s v="Metro Tata Motors"/>
    <s v="Tata Motors"/>
    <s v="PV - EV"/>
    <x v="5"/>
    <s v="Adventure"/>
    <s v="Suresh Kumar"/>
    <n v="3"/>
    <x v="3"/>
    <n v="1171868.3500000001"/>
    <n v="2"/>
    <n v="0"/>
    <x v="222"/>
    <n v="70312.100000000006"/>
    <x v="222"/>
    <s v="Achive"/>
  </r>
  <r>
    <n v="800074"/>
    <s v="18-08-2024"/>
    <x v="0"/>
    <s v="Bihar"/>
    <s v="Patna"/>
    <s v="Authorized Dealer"/>
    <s v="Capital Cars"/>
    <s v="Tata Motors"/>
    <s v="PV - ICE"/>
    <x v="0"/>
    <s v="XZ+"/>
    <s v="Suresh Kumar"/>
    <n v="2"/>
    <x v="0"/>
    <n v="762474.49"/>
    <n v="5"/>
    <n v="0"/>
    <x v="223"/>
    <n v="76247.45"/>
    <x v="223"/>
    <s v="Not achive"/>
  </r>
  <r>
    <n v="800088"/>
    <s v="18-08-2024"/>
    <x v="2"/>
    <s v="Haryana"/>
    <s v="Faridabad"/>
    <s v="Authorized Dealer"/>
    <s v="Sunrise Tata Showroom"/>
    <s v="Tata Motors"/>
    <s v="PV - ICE"/>
    <x v="10"/>
    <s v="Fearless+"/>
    <s v="Sneha Kapoor"/>
    <n v="1"/>
    <x v="8"/>
    <n v="931037.75"/>
    <n v="7.5"/>
    <n v="0"/>
    <x v="224"/>
    <n v="69827.83"/>
    <x v="224"/>
    <s v="Not achive"/>
  </r>
  <r>
    <n v="800408"/>
    <s v="18-08-2024"/>
    <x v="1"/>
    <s v="Kerala"/>
    <s v="Thiruvananthapuram"/>
    <s v="Online Booking"/>
    <s v="Prerna Automobiles"/>
    <s v="Tata Motors"/>
    <s v="CV - Pickup"/>
    <x v="2"/>
    <s v="Base"/>
    <s v="Suresh Kumar"/>
    <n v="2"/>
    <x v="2"/>
    <n v="787583.81"/>
    <n v="12.5"/>
    <n v="0"/>
    <x v="225"/>
    <n v="196895.95"/>
    <x v="225"/>
    <s v="Not achive"/>
  </r>
  <r>
    <n v="800476"/>
    <s v="18-08-2024"/>
    <x v="1"/>
    <s v="Tamil Nadu"/>
    <s v="Coimbatore"/>
    <s v="Company Showroom"/>
    <s v="Big Wheels Auto"/>
    <s v="Tata Motors"/>
    <s v="PV - ICE"/>
    <x v="6"/>
    <s v="Pure"/>
    <s v="Rohit Verma"/>
    <n v="2"/>
    <x v="4"/>
    <n v="697629.65"/>
    <n v="12.5"/>
    <n v="0"/>
    <x v="226"/>
    <n v="174407.41"/>
    <x v="226"/>
    <s v="Not achive"/>
  </r>
  <r>
    <n v="800100"/>
    <s v="19-08-2024"/>
    <x v="0"/>
    <s v="West Bengal"/>
    <s v="Kolkata"/>
    <s v="Online Booking"/>
    <s v="Sai Service Tata"/>
    <s v="Tata Motors"/>
    <s v="CV - Pickup"/>
    <x v="9"/>
    <s v="CX"/>
    <s v="Amit Sharma"/>
    <n v="1"/>
    <x v="7"/>
    <n v="986105.59"/>
    <n v="0"/>
    <n v="0"/>
    <x v="227"/>
    <n v="0"/>
    <x v="227"/>
    <s v="Not achive"/>
  </r>
  <r>
    <n v="800597"/>
    <s v="19-08-2024"/>
    <x v="3"/>
    <s v="Rajasthan"/>
    <s v="Jaipur"/>
    <s v="Corporate/Fleet Sale"/>
    <s v="Big Wheels Auto"/>
    <s v="Tata Motors"/>
    <s v="CV - Pickup"/>
    <x v="2"/>
    <s v="AC Cabin"/>
    <s v="Vikas Yadav"/>
    <n v="4"/>
    <x v="2"/>
    <n v="784720.34"/>
    <n v="0"/>
    <n v="0"/>
    <x v="228"/>
    <n v="0"/>
    <x v="228"/>
    <s v="Achive"/>
  </r>
  <r>
    <n v="800075"/>
    <s v="20-08-2024"/>
    <x v="0"/>
    <s v="West Bengal"/>
    <s v="Howrah"/>
    <s v="Company Showroom"/>
    <s v="Capital Cars"/>
    <s v="Tata Motors"/>
    <s v="PV - EV"/>
    <x v="11"/>
    <s v="Creative"/>
    <s v="Sneha Kapoor"/>
    <n v="1"/>
    <x v="9"/>
    <n v="1828968.13"/>
    <n v="0"/>
    <n v="0"/>
    <x v="229"/>
    <n v="0"/>
    <x v="229"/>
    <s v="Not achive"/>
  </r>
  <r>
    <n v="800094"/>
    <s v="20-08-2024"/>
    <x v="3"/>
    <s v="Gujarat"/>
    <s v="Surat"/>
    <s v="Company Showroom"/>
    <s v="Big Wheels Auto"/>
    <s v="Tata Motors"/>
    <s v="PV - ICE"/>
    <x v="0"/>
    <s v="XZ+"/>
    <s v="Neha Singh"/>
    <n v="3"/>
    <x v="0"/>
    <n v="761313.61"/>
    <n v="7.5"/>
    <n v="0"/>
    <x v="230"/>
    <n v="171295.56"/>
    <x v="230"/>
    <s v="Achive"/>
  </r>
  <r>
    <n v="800382"/>
    <s v="20-08-2024"/>
    <x v="0"/>
    <s v="West Bengal"/>
    <s v="Kolkata"/>
    <s v="Exchange Program"/>
    <s v="Landmark Motors"/>
    <s v="Tata Motors"/>
    <s v="PV - ICE"/>
    <x v="13"/>
    <s v="Accomplished+"/>
    <s v="Amit Sharma"/>
    <n v="1"/>
    <x v="11"/>
    <n v="1895211.3"/>
    <n v="7.5"/>
    <n v="0"/>
    <x v="231"/>
    <n v="142140.85"/>
    <x v="231"/>
    <s v="Not achive"/>
  </r>
  <r>
    <n v="800414"/>
    <s v="20-08-2024"/>
    <x v="1"/>
    <s v="Karnataka"/>
    <s v="Mysuru"/>
    <s v="Authorized Dealer"/>
    <s v="Reliance Trishakti"/>
    <s v="Tata Motors"/>
    <s v="PV - ICE"/>
    <x v="6"/>
    <s v="Pure"/>
    <s v="Vikas Yadav"/>
    <n v="3"/>
    <x v="4"/>
    <n v="694195.66"/>
    <n v="0"/>
    <n v="0"/>
    <x v="232"/>
    <n v="0"/>
    <x v="232"/>
    <s v="Achive"/>
  </r>
  <r>
    <n v="800594"/>
    <s v="21-08-2024"/>
    <x v="0"/>
    <s v="West Bengal"/>
    <s v="Howrah"/>
    <s v="Online Booking"/>
    <s v="Reliance Trishakti"/>
    <s v="Tata Motors"/>
    <s v="CV - Pickup"/>
    <x v="9"/>
    <s v="Base"/>
    <s v="Vikas Yadav"/>
    <n v="2"/>
    <x v="7"/>
    <n v="983635.6"/>
    <n v="0"/>
    <n v="0"/>
    <x v="233"/>
    <n v="0"/>
    <x v="233"/>
    <s v="Not achive"/>
  </r>
  <r>
    <n v="800267"/>
    <s v="22-08-2024"/>
    <x v="3"/>
    <s v="Maharashtra"/>
    <s v="Nashik"/>
    <s v="Exchange Program"/>
    <s v="National Tata Dealership"/>
    <s v="Tata Motors"/>
    <s v="PV - ICE"/>
    <x v="6"/>
    <s v="Creative+"/>
    <s v="Rohit Verma"/>
    <n v="2"/>
    <x v="4"/>
    <n v="693419.73"/>
    <n v="12.5"/>
    <n v="0"/>
    <x v="234"/>
    <n v="173354.93"/>
    <x v="234"/>
    <s v="Not achive"/>
  </r>
  <r>
    <n v="800614"/>
    <s v="22-08-2024"/>
    <x v="3"/>
    <s v="Maharashtra"/>
    <s v="Pune"/>
    <s v="Exchange Program"/>
    <s v="Metro Tata Motors"/>
    <s v="Tata Motors"/>
    <s v="PV - ICE"/>
    <x v="4"/>
    <s v="XM"/>
    <s v="Amit Sharma"/>
    <n v="2"/>
    <x v="2"/>
    <n v="777766.49"/>
    <n v="0"/>
    <n v="0"/>
    <x v="235"/>
    <n v="0"/>
    <x v="235"/>
    <s v="Not achive"/>
  </r>
  <r>
    <n v="800198"/>
    <s v="25-08-2024"/>
    <x v="0"/>
    <s v="Odisha"/>
    <s v="Bhubaneswar"/>
    <s v="Authorized Dealer"/>
    <s v="Landmark Motors"/>
    <s v="Tata Motors"/>
    <s v="PV - EV"/>
    <x v="11"/>
    <s v="Empowered"/>
    <s v="Sneha Kapoor"/>
    <n v="1"/>
    <x v="9"/>
    <n v="1747505.35"/>
    <n v="5"/>
    <n v="0"/>
    <x v="236"/>
    <n v="87375.27"/>
    <x v="236"/>
    <s v="Not achive"/>
  </r>
  <r>
    <n v="800546"/>
    <s v="25-08-2024"/>
    <x v="3"/>
    <s v="Gujarat"/>
    <s v="Surat"/>
    <s v="Corporate/Fleet Sale"/>
    <s v="Landmark Motors"/>
    <s v="Tata Motors"/>
    <s v="PV - ICE"/>
    <x v="4"/>
    <s v="XM"/>
    <s v="Rohit Verma"/>
    <n v="2"/>
    <x v="2"/>
    <n v="814248.55"/>
    <n v="0"/>
    <n v="0"/>
    <x v="237"/>
    <n v="0"/>
    <x v="237"/>
    <s v="Not achive"/>
  </r>
  <r>
    <n v="800130"/>
    <s v="26-08-2024"/>
    <x v="0"/>
    <s v="West Bengal"/>
    <s v="Kolkata"/>
    <s v="Authorized Dealer"/>
    <s v="Landmark Motors"/>
    <s v="Tata Motors"/>
    <s v="PV - EV"/>
    <x v="5"/>
    <s v="Smart"/>
    <s v="Suresh Kumar"/>
    <n v="3"/>
    <x v="3"/>
    <n v="1220413.56"/>
    <n v="10"/>
    <n v="0"/>
    <x v="238"/>
    <n v="366124.07"/>
    <x v="238"/>
    <s v="Achive"/>
  </r>
  <r>
    <n v="800157"/>
    <s v="26-08-2024"/>
    <x v="0"/>
    <s v="Bihar"/>
    <s v="Gaya"/>
    <s v="Corporate/Fleet Sale"/>
    <s v="Metro Tata Motors"/>
    <s v="Tata Motors"/>
    <s v="PV - ICE"/>
    <x v="10"/>
    <s v="Smart"/>
    <s v="Sneha Kapoor"/>
    <n v="1"/>
    <x v="8"/>
    <n v="948588.38"/>
    <n v="2"/>
    <n v="0"/>
    <x v="239"/>
    <n v="18971.77"/>
    <x v="239"/>
    <s v="Not achive"/>
  </r>
  <r>
    <n v="800335"/>
    <s v="27-08-2024"/>
    <x v="3"/>
    <s v="Gujarat"/>
    <s v="Ahmedabad"/>
    <s v="Exchange Program"/>
    <s v="Sunrise Tata Showroom"/>
    <s v="Tata Motors"/>
    <s v="CV - Pickup"/>
    <x v="2"/>
    <s v="AC Cabin"/>
    <s v="Divya Pillai"/>
    <n v="6"/>
    <x v="2"/>
    <n v="784693.7"/>
    <n v="2"/>
    <n v="0"/>
    <x v="240"/>
    <n v="94163.24"/>
    <x v="240"/>
    <s v="Achive"/>
  </r>
  <r>
    <n v="800549"/>
    <s v="27-08-2024"/>
    <x v="0"/>
    <s v="West Bengal"/>
    <s v="Kolkata"/>
    <s v="Online Booking"/>
    <s v="Big Wheels Auto"/>
    <s v="Tata Motors"/>
    <s v="PV - ICE"/>
    <x v="4"/>
    <s v="XE"/>
    <s v="Divya Pillai"/>
    <n v="3"/>
    <x v="2"/>
    <n v="789251.23"/>
    <n v="5"/>
    <n v="0"/>
    <x v="241"/>
    <n v="118387.68"/>
    <x v="241"/>
    <s v="Achive"/>
  </r>
  <r>
    <n v="800255"/>
    <s v="28-08-2024"/>
    <x v="2"/>
    <s v="Punjab"/>
    <s v="Amritsar"/>
    <s v="Online Booking"/>
    <s v="Sunrise Tata Showroom"/>
    <s v="Tata Motors"/>
    <s v="CV - SCV"/>
    <x v="1"/>
    <s v="CNG"/>
    <s v="Neha Singh"/>
    <n v="1"/>
    <x v="1"/>
    <n v="548710.01"/>
    <n v="0"/>
    <n v="0"/>
    <x v="242"/>
    <n v="0"/>
    <x v="242"/>
    <s v="Not achive"/>
  </r>
  <r>
    <n v="800496"/>
    <s v="29-08-2024"/>
    <x v="1"/>
    <s v="Tamil Nadu"/>
    <s v="Coimbatore"/>
    <s v="Exchange Program"/>
    <s v="Landmark Motors"/>
    <s v="Tata Motors"/>
    <s v="PV - ICE"/>
    <x v="3"/>
    <s v="Creative"/>
    <s v="Divya Pillai"/>
    <n v="2"/>
    <x v="3"/>
    <n v="1198437.92"/>
    <n v="7.5"/>
    <n v="0"/>
    <x v="243"/>
    <n v="179765.69"/>
    <x v="243"/>
    <s v="Achive"/>
  </r>
  <r>
    <n v="800021"/>
    <s v="30-08-2024"/>
    <x v="2"/>
    <s v="Uttar Pradesh"/>
    <s v="Noida"/>
    <s v="Authorized Dealer"/>
    <s v="Metro Tata Motors"/>
    <s v="Tata Motors"/>
    <s v="PV - EV"/>
    <x v="5"/>
    <s v="Adventure"/>
    <s v="Rohit Verma"/>
    <n v="2"/>
    <x v="3"/>
    <n v="1205795.49"/>
    <n v="12.5"/>
    <n v="0"/>
    <x v="244"/>
    <n v="301448.87"/>
    <x v="244"/>
    <s v="Achive"/>
  </r>
  <r>
    <n v="800059"/>
    <s v="30-08-2024"/>
    <x v="3"/>
    <s v="Maharashtra"/>
    <s v="Nagpur"/>
    <s v="Online Booking"/>
    <s v="Sunrise Tata Showroom"/>
    <s v="Tata Motors"/>
    <s v="PV - ICE"/>
    <x v="13"/>
    <s v="Accomplished+"/>
    <s v="Divya Pillai"/>
    <n v="3"/>
    <x v="11"/>
    <n v="1869884.88"/>
    <n v="0"/>
    <n v="0"/>
    <x v="245"/>
    <n v="0"/>
    <x v="245"/>
    <s v="Achive"/>
  </r>
  <r>
    <n v="800123"/>
    <s v="30-08-2024"/>
    <x v="1"/>
    <s v="Tamil Nadu"/>
    <s v="Coimbatore"/>
    <s v="Corporate/Fleet Sale"/>
    <s v="Statesman Cars"/>
    <s v="Tata Motors"/>
    <s v="PV - ICE"/>
    <x v="6"/>
    <s v="Adventure"/>
    <s v="Priya Nair"/>
    <n v="1"/>
    <x v="4"/>
    <n v="686929.01"/>
    <n v="0"/>
    <n v="0"/>
    <x v="246"/>
    <n v="0"/>
    <x v="246"/>
    <s v="Not achive"/>
  </r>
  <r>
    <n v="800138"/>
    <s v="30-08-2024"/>
    <x v="1"/>
    <s v="Tamil Nadu"/>
    <s v="Coimbatore"/>
    <s v="Authorized Dealer"/>
    <s v="Metro Tata Motors"/>
    <s v="Tata Motors"/>
    <s v="PV - EV"/>
    <x v="12"/>
    <s v="XE"/>
    <s v="Divya Pillai"/>
    <n v="2"/>
    <x v="10"/>
    <n v="1232575.71"/>
    <n v="0"/>
    <n v="0"/>
    <x v="247"/>
    <n v="0"/>
    <x v="247"/>
    <s v="Achive"/>
  </r>
  <r>
    <n v="800319"/>
    <s v="30-08-2024"/>
    <x v="0"/>
    <s v="Bihar"/>
    <s v="Patna"/>
    <s v="Exchange Program"/>
    <s v="Concorde Tata"/>
    <s v="Tata Motors"/>
    <s v="PV - ICE"/>
    <x v="13"/>
    <s v="Accomplished+"/>
    <s v="Amit Sharma"/>
    <n v="2"/>
    <x v="11"/>
    <n v="1904212"/>
    <n v="12.5"/>
    <n v="0"/>
    <x v="248"/>
    <n v="476053"/>
    <x v="248"/>
    <s v="Achive"/>
  </r>
  <r>
    <n v="800537"/>
    <s v="30-08-2024"/>
    <x v="3"/>
    <s v="Rajasthan"/>
    <s v="Jodhpur"/>
    <s v="Company Showroom"/>
    <s v="Big Wheels Auto"/>
    <s v="Tata Motors"/>
    <s v="PV - ICE"/>
    <x v="7"/>
    <s v="Pure"/>
    <s v="Anjali Rao"/>
    <n v="3"/>
    <x v="5"/>
    <n v="1655009.38"/>
    <n v="7.5"/>
    <n v="0"/>
    <x v="249"/>
    <n v="372377.11"/>
    <x v="249"/>
    <s v="Achive"/>
  </r>
  <r>
    <n v="800282"/>
    <s v="31-08-2024"/>
    <x v="0"/>
    <s v="Bihar"/>
    <s v="Patna"/>
    <s v="Authorized Dealer"/>
    <s v="Big Wheels Auto"/>
    <s v="Tata Motors"/>
    <s v="PV - ICE"/>
    <x v="6"/>
    <s v="Pure"/>
    <s v="Sneha Kapoor"/>
    <n v="3"/>
    <x v="4"/>
    <n v="698393.94"/>
    <n v="5"/>
    <n v="0"/>
    <x v="250"/>
    <n v="104759.09"/>
    <x v="250"/>
    <s v="Not achive"/>
  </r>
  <r>
    <n v="800188"/>
    <s v="01-09-2024"/>
    <x v="3"/>
    <s v="Rajasthan"/>
    <s v="Jodhpur"/>
    <s v="Exchange Program"/>
    <s v="Capital Cars"/>
    <s v="Tata Motors"/>
    <s v="PV - ICE"/>
    <x v="14"/>
    <s v="XT"/>
    <s v="Sneha Kapoor"/>
    <n v="3"/>
    <x v="12"/>
    <n v="640858.87"/>
    <n v="10"/>
    <n v="0"/>
    <x v="251"/>
    <n v="192257.66"/>
    <x v="251"/>
    <s v="Not achive"/>
  </r>
  <r>
    <n v="800219"/>
    <s v="01-09-2024"/>
    <x v="1"/>
    <s v="Kerala"/>
    <s v="Thiruvananthapuram"/>
    <s v="Online Booking"/>
    <s v="Prerna Automobiles"/>
    <s v="Tata Motors"/>
    <s v="PV - EV"/>
    <x v="11"/>
    <s v="Accomplished"/>
    <s v="Neha Singh"/>
    <n v="2"/>
    <x v="9"/>
    <n v="1754786.07"/>
    <n v="12.5"/>
    <n v="0"/>
    <x v="252"/>
    <n v="438696.52"/>
    <x v="252"/>
    <s v="Achive"/>
  </r>
  <r>
    <n v="800514"/>
    <s v="01-09-2024"/>
    <x v="2"/>
    <s v="Haryana"/>
    <s v="Hisar"/>
    <s v="Authorized Dealer"/>
    <s v="Capital Cars"/>
    <s v="Tata Motors"/>
    <s v="CV - SCV"/>
    <x v="1"/>
    <s v="CNG"/>
    <s v="Vikas Yadav"/>
    <n v="2"/>
    <x v="1"/>
    <n v="548748.07999999996"/>
    <n v="10"/>
    <n v="0"/>
    <x v="253"/>
    <n v="109749.62"/>
    <x v="253"/>
    <s v="Not achive"/>
  </r>
  <r>
    <n v="800051"/>
    <s v="02-09-2024"/>
    <x v="2"/>
    <s v="Haryana"/>
    <s v="Panipat"/>
    <s v="Online Booking"/>
    <s v="Sai Service Tata"/>
    <s v="Tata Motors"/>
    <s v="PV - ICE"/>
    <x v="6"/>
    <s v="Pure"/>
    <s v="Karan Mehta"/>
    <n v="3"/>
    <x v="4"/>
    <n v="708070.01"/>
    <n v="2"/>
    <n v="0"/>
    <x v="254"/>
    <n v="42484.2"/>
    <x v="254"/>
    <s v="Achive"/>
  </r>
  <r>
    <n v="800091"/>
    <s v="02-09-2024"/>
    <x v="1"/>
    <s v="Tamil Nadu"/>
    <s v="Chennai"/>
    <s v="Online Booking"/>
    <s v="Landmark Motors"/>
    <s v="Tata Motors"/>
    <s v="PV - EV"/>
    <x v="12"/>
    <s v="XZ+"/>
    <s v="Karan Mehta"/>
    <n v="1"/>
    <x v="10"/>
    <n v="1252978.27"/>
    <n v="12.5"/>
    <n v="0"/>
    <x v="255"/>
    <n v="156622.28"/>
    <x v="255"/>
    <s v="Not achive"/>
  </r>
  <r>
    <n v="800428"/>
    <s v="02-09-2024"/>
    <x v="1"/>
    <s v="Telangana"/>
    <s v="Warangal"/>
    <s v="Online Booking"/>
    <s v="Landmark Motors"/>
    <s v="Tata Motors"/>
    <s v="PV - ICE"/>
    <x v="13"/>
    <s v="Smart"/>
    <s v="Rohit Verma"/>
    <n v="3"/>
    <x v="11"/>
    <n v="1844548.73"/>
    <n v="0"/>
    <n v="0"/>
    <x v="256"/>
    <n v="0"/>
    <x v="256"/>
    <s v="Achive"/>
  </r>
  <r>
    <n v="800472"/>
    <s v="02-09-2024"/>
    <x v="1"/>
    <s v="Tamil Nadu"/>
    <s v="Coimbatore"/>
    <s v="Online Booking"/>
    <s v="Concorde Tata"/>
    <s v="Tata Motors"/>
    <s v="PV - ICE"/>
    <x v="3"/>
    <s v="Smart"/>
    <s v="Neha Singh"/>
    <n v="2"/>
    <x v="3"/>
    <n v="1213767.45"/>
    <n v="5"/>
    <n v="0"/>
    <x v="257"/>
    <n v="121376.74"/>
    <x v="257"/>
    <s v="Achive"/>
  </r>
  <r>
    <n v="800589"/>
    <s v="02-09-2024"/>
    <x v="2"/>
    <s v="Haryana"/>
    <s v="Hisar"/>
    <s v="Authorized Dealer"/>
    <s v="National Tata Dealership"/>
    <s v="Tata Motors"/>
    <s v="CV - SCV"/>
    <x v="1"/>
    <s v="CNG"/>
    <s v="Sneha Kapoor"/>
    <n v="2"/>
    <x v="1"/>
    <n v="543051.19999999995"/>
    <n v="0"/>
    <n v="0"/>
    <x v="258"/>
    <n v="0"/>
    <x v="258"/>
    <s v="Not achive"/>
  </r>
  <r>
    <n v="800293"/>
    <s v="03-09-2024"/>
    <x v="0"/>
    <s v="Bihar"/>
    <s v="Gaya"/>
    <s v="Corporate/Fleet Sale"/>
    <s v="Sai Service Tata"/>
    <s v="Tata Motors"/>
    <s v="PV - ICE"/>
    <x v="6"/>
    <s v="Pure"/>
    <s v="Priya Nair"/>
    <n v="2"/>
    <x v="4"/>
    <n v="710396.1"/>
    <n v="0"/>
    <n v="0"/>
    <x v="259"/>
    <n v="0"/>
    <x v="259"/>
    <s v="Not achive"/>
  </r>
  <r>
    <n v="800565"/>
    <s v="03-09-2024"/>
    <x v="0"/>
    <s v="West Bengal"/>
    <s v="Howrah"/>
    <s v="Corporate/Fleet Sale"/>
    <s v="Statesman Cars"/>
    <s v="Tata Motors"/>
    <s v="CV - Pickup"/>
    <x v="2"/>
    <s v="AC Cabin"/>
    <s v="Karan Mehta"/>
    <n v="5"/>
    <x v="2"/>
    <n v="806543.58"/>
    <n v="7.5"/>
    <n v="0"/>
    <x v="260"/>
    <n v="302453.84000000003"/>
    <x v="260"/>
    <s v="Achive"/>
  </r>
  <r>
    <n v="800356"/>
    <s v="04-09-2024"/>
    <x v="3"/>
    <s v="Rajasthan"/>
    <s v="Jaipur"/>
    <s v="Authorized Dealer"/>
    <s v="Sunrise Tata Showroom"/>
    <s v="Tata Motors"/>
    <s v="PV - EV"/>
    <x v="12"/>
    <s v="XE"/>
    <s v="Vikas Yadav"/>
    <n v="2"/>
    <x v="10"/>
    <n v="1242866.33"/>
    <n v="7.5"/>
    <n v="0"/>
    <x v="261"/>
    <n v="186429.95"/>
    <x v="261"/>
    <s v="Achive"/>
  </r>
  <r>
    <n v="800109"/>
    <s v="05-09-2024"/>
    <x v="0"/>
    <s v="West Bengal"/>
    <s v="Kolkata"/>
    <s v="Exchange Program"/>
    <s v="Concorde Tata"/>
    <s v="Tata Motors"/>
    <s v="PV - ICE"/>
    <x v="10"/>
    <s v="Creative"/>
    <s v="Amit Sharma"/>
    <n v="2"/>
    <x v="8"/>
    <n v="953715.35"/>
    <n v="12.5"/>
    <n v="0"/>
    <x v="262"/>
    <n v="238428.84"/>
    <x v="262"/>
    <s v="Not achive"/>
  </r>
  <r>
    <n v="800180"/>
    <s v="05-09-2024"/>
    <x v="2"/>
    <s v="Punjab"/>
    <s v="Amritsar"/>
    <s v="Online Booking"/>
    <s v="Statesman Cars"/>
    <s v="Tata Motors"/>
    <s v="PV - EV"/>
    <x v="11"/>
    <s v="Accomplished"/>
    <s v="Priya Nair"/>
    <n v="3"/>
    <x v="9"/>
    <n v="1751196.31"/>
    <n v="12.5"/>
    <n v="0"/>
    <x v="263"/>
    <n v="656698.62"/>
    <x v="263"/>
    <s v="Achive"/>
  </r>
  <r>
    <n v="800471"/>
    <s v="05-09-2024"/>
    <x v="1"/>
    <s v="Tamil Nadu"/>
    <s v="Coimbatore"/>
    <s v="Online Booking"/>
    <s v="Reliance Trishakti"/>
    <s v="Tata Motors"/>
    <s v="PV - EV"/>
    <x v="11"/>
    <s v="Creative"/>
    <s v="Karan Mehta"/>
    <n v="3"/>
    <x v="9"/>
    <n v="1781060.96"/>
    <n v="0"/>
    <n v="0"/>
    <x v="264"/>
    <n v="0"/>
    <x v="264"/>
    <s v="Achive"/>
  </r>
  <r>
    <n v="800446"/>
    <s v="06-09-2024"/>
    <x v="3"/>
    <s v="Gujarat"/>
    <s v="Surat"/>
    <s v="Exchange Program"/>
    <s v="Big Wheels Auto"/>
    <s v="Tata Motors"/>
    <s v="PV - ICE"/>
    <x v="3"/>
    <s v="Accomplished"/>
    <s v="Suresh Kumar"/>
    <n v="1"/>
    <x v="3"/>
    <n v="1203148.3600000001"/>
    <n v="2"/>
    <n v="0"/>
    <x v="265"/>
    <n v="24062.97"/>
    <x v="265"/>
    <s v="Not achive"/>
  </r>
  <r>
    <n v="800480"/>
    <s v="06-09-2024"/>
    <x v="1"/>
    <s v="Karnataka"/>
    <s v="Bengaluru"/>
    <s v="Exchange Program"/>
    <s v="Concorde Tata"/>
    <s v="Tata Motors"/>
    <s v="CV - Pickup"/>
    <x v="9"/>
    <s v="CX"/>
    <s v="Karan Mehta"/>
    <n v="2"/>
    <x v="7"/>
    <n v="974645.81"/>
    <n v="12.5"/>
    <n v="0"/>
    <x v="266"/>
    <n v="243661.45"/>
    <x v="266"/>
    <s v="Not achive"/>
  </r>
  <r>
    <n v="800593"/>
    <s v="06-09-2024"/>
    <x v="1"/>
    <s v="Kerala"/>
    <s v="Kochi"/>
    <s v="Corporate/Fleet Sale"/>
    <s v="Reliance Trishakti"/>
    <s v="Tata Motors"/>
    <s v="PV - EV"/>
    <x v="12"/>
    <s v="XE"/>
    <s v="Sneha Kapoor"/>
    <n v="1"/>
    <x v="10"/>
    <n v="1219597.4099999999"/>
    <n v="2"/>
    <n v="0"/>
    <x v="267"/>
    <n v="24391.95"/>
    <x v="267"/>
    <s v="Not achive"/>
  </r>
  <r>
    <n v="800479"/>
    <s v="07-09-2024"/>
    <x v="2"/>
    <s v="Delhi"/>
    <s v="Dwarka"/>
    <s v="Authorized Dealer"/>
    <s v="Concorde Tata"/>
    <s v="Tata Motors"/>
    <s v="PV - EV"/>
    <x v="8"/>
    <s v="Fearless"/>
    <s v="Suresh Kumar"/>
    <n v="3"/>
    <x v="6"/>
    <n v="1499709.1"/>
    <n v="12.5"/>
    <n v="0"/>
    <x v="268"/>
    <n v="562390.91"/>
    <x v="268"/>
    <s v="Achive"/>
  </r>
  <r>
    <n v="800034"/>
    <s v="08-09-2024"/>
    <x v="1"/>
    <s v="Tamil Nadu"/>
    <s v="Chennai"/>
    <s v="Corporate/Fleet Sale"/>
    <s v="Statesman Cars"/>
    <s v="Tata Motors"/>
    <s v="PV - EV"/>
    <x v="12"/>
    <s v="XZ+"/>
    <s v="Anjali Rao"/>
    <n v="1"/>
    <x v="10"/>
    <n v="1249785.7"/>
    <n v="7.5"/>
    <n v="0"/>
    <x v="269"/>
    <n v="93733.93"/>
    <x v="269"/>
    <s v="Not achive"/>
  </r>
  <r>
    <n v="800571"/>
    <s v="08-09-2024"/>
    <x v="0"/>
    <s v="West Bengal"/>
    <s v="Kolkata"/>
    <s v="Online Booking"/>
    <s v="Reliance Trishakti"/>
    <s v="Tata Motors"/>
    <s v="PV - ICE"/>
    <x v="0"/>
    <s v="XE"/>
    <s v="Neha Singh"/>
    <n v="2"/>
    <x v="0"/>
    <n v="743403.44"/>
    <n v="2"/>
    <n v="0"/>
    <x v="270"/>
    <n v="29736.14"/>
    <x v="270"/>
    <s v="Not achive"/>
  </r>
  <r>
    <n v="800259"/>
    <s v="09-09-2024"/>
    <x v="2"/>
    <s v="Uttar Pradesh"/>
    <s v="Noida"/>
    <s v="Authorized Dealer"/>
    <s v="National Tata Dealership"/>
    <s v="Tata Motors"/>
    <s v="PV - EV"/>
    <x v="12"/>
    <s v="XE"/>
    <s v="Sneha Kapoor"/>
    <n v="3"/>
    <x v="10"/>
    <n v="1272763.6399999999"/>
    <n v="2"/>
    <n v="0"/>
    <x v="271"/>
    <n v="76365.820000000007"/>
    <x v="271"/>
    <s v="Achive"/>
  </r>
  <r>
    <n v="800426"/>
    <s v="09-09-2024"/>
    <x v="0"/>
    <s v="Bihar"/>
    <s v="Patna"/>
    <s v="Company Showroom"/>
    <s v="Om Sai Auto Hub"/>
    <s v="Tata Motors"/>
    <s v="PV - EV"/>
    <x v="8"/>
    <s v="Empowered"/>
    <s v="Neha Singh"/>
    <n v="3"/>
    <x v="6"/>
    <n v="1466863.23"/>
    <n v="12.5"/>
    <n v="0"/>
    <x v="272"/>
    <n v="550073.71"/>
    <x v="272"/>
    <s v="Achive"/>
  </r>
  <r>
    <n v="800580"/>
    <s v="09-09-2024"/>
    <x v="0"/>
    <s v="Odisha"/>
    <s v="Bhubaneswar"/>
    <s v="Exchange Program"/>
    <s v="Big Wheels Auto"/>
    <s v="Tata Motors"/>
    <s v="CV - SCV"/>
    <x v="1"/>
    <s v="Base"/>
    <s v="Anjali Rao"/>
    <n v="4"/>
    <x v="1"/>
    <n v="557703.46"/>
    <n v="0"/>
    <n v="0"/>
    <x v="273"/>
    <n v="0"/>
    <x v="273"/>
    <s v="Achive"/>
  </r>
  <r>
    <n v="800206"/>
    <s v="10-09-2024"/>
    <x v="0"/>
    <s v="Bihar"/>
    <s v="Gaya"/>
    <s v="Company Showroom"/>
    <s v="Sai Service Tata"/>
    <s v="Tata Motors"/>
    <s v="PV - ICE"/>
    <x v="0"/>
    <s v="XE"/>
    <s v="Rohit Verma"/>
    <n v="1"/>
    <x v="0"/>
    <n v="741750"/>
    <n v="0"/>
    <n v="0"/>
    <x v="274"/>
    <n v="0"/>
    <x v="274"/>
    <s v="Not achive"/>
  </r>
  <r>
    <n v="800487"/>
    <s v="10-09-2024"/>
    <x v="2"/>
    <s v="Uttar Pradesh"/>
    <s v="Kanpur"/>
    <s v="Online Booking"/>
    <s v="Om Sai Auto Hub"/>
    <s v="Tata Motors"/>
    <s v="PV - EV"/>
    <x v="5"/>
    <s v="Adventure"/>
    <s v="Karan Mehta"/>
    <n v="3"/>
    <x v="3"/>
    <n v="1190829.5900000001"/>
    <n v="2"/>
    <n v="0"/>
    <x v="275"/>
    <n v="71449.78"/>
    <x v="275"/>
    <s v="Achive"/>
  </r>
  <r>
    <n v="800420"/>
    <s v="13-09-2024"/>
    <x v="3"/>
    <s v="Gujarat"/>
    <s v="Ahmedabad"/>
    <s v="Authorized Dealer"/>
    <s v="Reliance Trishakti"/>
    <s v="Tata Motors"/>
    <s v="PV - EV"/>
    <x v="11"/>
    <s v="Accomplished"/>
    <s v="Vikas Yadav"/>
    <n v="3"/>
    <x v="9"/>
    <n v="1807490.18"/>
    <n v="0"/>
    <n v="0"/>
    <x v="276"/>
    <n v="0"/>
    <x v="276"/>
    <s v="Achive"/>
  </r>
  <r>
    <n v="800107"/>
    <s v="14-09-2024"/>
    <x v="2"/>
    <s v="Uttar Pradesh"/>
    <s v="Lucknow"/>
    <s v="Authorized Dealer"/>
    <s v="Sai Service Tata"/>
    <s v="Tata Motors"/>
    <s v="PV - EV"/>
    <x v="11"/>
    <s v="Creative"/>
    <s v="Sneha Kapoor"/>
    <n v="2"/>
    <x v="9"/>
    <n v="1786828.12"/>
    <n v="0"/>
    <n v="0"/>
    <x v="277"/>
    <n v="0"/>
    <x v="277"/>
    <s v="Achive"/>
  </r>
  <r>
    <n v="800391"/>
    <s v="14-09-2024"/>
    <x v="3"/>
    <s v="Gujarat"/>
    <s v="Vadodara"/>
    <s v="Exchange Program"/>
    <s v="Capital Cars"/>
    <s v="Tata Motors"/>
    <s v="PV - ICE"/>
    <x v="10"/>
    <s v="Fearless+"/>
    <s v="Anjali Rao"/>
    <n v="1"/>
    <x v="8"/>
    <n v="953519.9"/>
    <n v="10"/>
    <n v="0"/>
    <x v="278"/>
    <n v="95351.99"/>
    <x v="278"/>
    <s v="Not achive"/>
  </r>
  <r>
    <n v="800481"/>
    <s v="14-09-2024"/>
    <x v="0"/>
    <s v="West Bengal"/>
    <s v="Kolkata"/>
    <s v="Company Showroom"/>
    <s v="Statesman Cars"/>
    <s v="Tata Motors"/>
    <s v="CV - Pickup"/>
    <x v="2"/>
    <s v="AC Cabin"/>
    <s v="Neha Singh"/>
    <n v="4"/>
    <x v="2"/>
    <n v="783334.12"/>
    <n v="7.5"/>
    <n v="0"/>
    <x v="279"/>
    <n v="235000.24"/>
    <x v="279"/>
    <s v="Achive"/>
  </r>
  <r>
    <n v="800511"/>
    <s v="16-09-2024"/>
    <x v="1"/>
    <s v="Telangana"/>
    <s v="Hyderabad"/>
    <s v="Online Booking"/>
    <s v="Statesman Cars"/>
    <s v="Tata Motors"/>
    <s v="PV - ICE"/>
    <x v="7"/>
    <s v="Fearless+"/>
    <s v="Anjali Rao"/>
    <n v="1"/>
    <x v="5"/>
    <n v="1705491.5"/>
    <n v="5"/>
    <n v="0"/>
    <x v="280"/>
    <n v="85274.57"/>
    <x v="280"/>
    <s v="Not achive"/>
  </r>
  <r>
    <n v="800136"/>
    <s v="17-09-2024"/>
    <x v="1"/>
    <s v="Kerala"/>
    <s v="Thiruvananthapuram"/>
    <s v="Exchange Program"/>
    <s v="Capital Cars"/>
    <s v="Tata Motors"/>
    <s v="PV - EV"/>
    <x v="5"/>
    <s v="Smart"/>
    <s v="Vikas Yadav"/>
    <n v="2"/>
    <x v="3"/>
    <n v="1185418.45"/>
    <n v="0"/>
    <n v="0"/>
    <x v="281"/>
    <n v="0"/>
    <x v="281"/>
    <s v="Achive"/>
  </r>
  <r>
    <n v="800220"/>
    <s v="17-09-2024"/>
    <x v="2"/>
    <s v="Delhi"/>
    <s v="New Delhi"/>
    <s v="Corporate/Fleet Sale"/>
    <s v="Reliance Trishakti"/>
    <s v="Tata Motors"/>
    <s v="PV - ICE"/>
    <x v="0"/>
    <s v="XZ+"/>
    <s v="Suresh Kumar"/>
    <n v="3"/>
    <x v="0"/>
    <n v="736646.74"/>
    <n v="0"/>
    <n v="0"/>
    <x v="282"/>
    <n v="0"/>
    <x v="282"/>
    <s v="Achive"/>
  </r>
  <r>
    <n v="800348"/>
    <s v="17-09-2024"/>
    <x v="0"/>
    <s v="Bihar"/>
    <s v="Patna"/>
    <s v="Exchange Program"/>
    <s v="Sai Service Tata"/>
    <s v="Tata Motors"/>
    <s v="CV - Pickup"/>
    <x v="9"/>
    <s v="CX"/>
    <s v="Amit Sharma"/>
    <n v="6"/>
    <x v="7"/>
    <n v="1004302.18"/>
    <n v="0"/>
    <n v="0"/>
    <x v="283"/>
    <n v="0"/>
    <x v="283"/>
    <s v="Achive"/>
  </r>
  <r>
    <n v="800191"/>
    <s v="18-09-2024"/>
    <x v="2"/>
    <s v="Haryana"/>
    <s v="Panipat"/>
    <s v="Exchange Program"/>
    <s v="National Tata Dealership"/>
    <s v="Tata Motors"/>
    <s v="PV - ICE"/>
    <x v="14"/>
    <s v="XE"/>
    <s v="Vikas Yadav"/>
    <n v="3"/>
    <x v="12"/>
    <n v="654039.92000000004"/>
    <n v="2"/>
    <n v="0"/>
    <x v="284"/>
    <n v="39242.400000000001"/>
    <x v="284"/>
    <s v="Not achive"/>
  </r>
  <r>
    <n v="800235"/>
    <s v="20-09-2024"/>
    <x v="0"/>
    <s v="Odisha"/>
    <s v="Bhubaneswar"/>
    <s v="Authorized Dealer"/>
    <s v="Om Sai Auto Hub"/>
    <s v="Tata Motors"/>
    <s v="PV - EV"/>
    <x v="8"/>
    <s v="Creative"/>
    <s v="Sneha Kapoor"/>
    <n v="1"/>
    <x v="6"/>
    <n v="1492103.62"/>
    <n v="7.5"/>
    <n v="0"/>
    <x v="285"/>
    <n v="111907.77"/>
    <x v="285"/>
    <s v="Not achive"/>
  </r>
  <r>
    <n v="800398"/>
    <s v="20-09-2024"/>
    <x v="0"/>
    <s v="Odisha"/>
    <s v="Bhubaneswar"/>
    <s v="Authorized Dealer"/>
    <s v="Metro Tata Motors"/>
    <s v="Tata Motors"/>
    <s v="PV - EV"/>
    <x v="12"/>
    <s v="XZ+"/>
    <s v="Priya Nair"/>
    <n v="3"/>
    <x v="10"/>
    <n v="1272287.1499999999"/>
    <n v="0"/>
    <n v="0"/>
    <x v="286"/>
    <n v="0"/>
    <x v="286"/>
    <s v="Achive"/>
  </r>
  <r>
    <n v="800015"/>
    <s v="21-09-2024"/>
    <x v="3"/>
    <s v="Rajasthan"/>
    <s v="Jodhpur"/>
    <s v="Online Booking"/>
    <s v="Reliance Trishakti"/>
    <s v="Tata Motors"/>
    <s v="PV - ICE"/>
    <x v="7"/>
    <s v="Pure"/>
    <s v="Priya Nair"/>
    <n v="3"/>
    <x v="5"/>
    <n v="1687376.32"/>
    <n v="2"/>
    <n v="0"/>
    <x v="287"/>
    <n v="101242.58"/>
    <x v="287"/>
    <s v="Achive"/>
  </r>
  <r>
    <n v="800018"/>
    <s v="21-09-2024"/>
    <x v="2"/>
    <s v="Delhi"/>
    <s v="Dwarka"/>
    <s v="Corporate/Fleet Sale"/>
    <s v="Metro Tata Motors"/>
    <s v="Tata Motors"/>
    <s v="PV - EV"/>
    <x v="8"/>
    <s v="Fearless"/>
    <s v="Anjali Rao"/>
    <n v="3"/>
    <x v="6"/>
    <n v="1504009.16"/>
    <n v="0"/>
    <n v="0"/>
    <x v="288"/>
    <n v="0"/>
    <x v="288"/>
    <s v="Achive"/>
  </r>
  <r>
    <n v="800158"/>
    <s v="21-09-2024"/>
    <x v="2"/>
    <s v="Punjab"/>
    <s v="Jalandhar"/>
    <s v="Online Booking"/>
    <s v="Om Sai Auto Hub"/>
    <s v="Tata Motors"/>
    <s v="PV - EV"/>
    <x v="5"/>
    <s v="Empowered"/>
    <s v="Karan Mehta"/>
    <n v="1"/>
    <x v="3"/>
    <n v="1171719.8"/>
    <n v="0"/>
    <n v="0"/>
    <x v="289"/>
    <n v="0"/>
    <x v="289"/>
    <s v="Not achive"/>
  </r>
  <r>
    <n v="800239"/>
    <s v="23-09-2024"/>
    <x v="2"/>
    <s v="Delhi"/>
    <s v="New Delhi"/>
    <s v="Online Booking"/>
    <s v="Concorde Tata"/>
    <s v="Tata Motors"/>
    <s v="PV - ICE"/>
    <x v="4"/>
    <s v="XZ+"/>
    <s v="Vikas Yadav"/>
    <n v="3"/>
    <x v="2"/>
    <n v="803199.31"/>
    <n v="0"/>
    <n v="1"/>
    <x v="290"/>
    <n v="0"/>
    <x v="290"/>
    <s v="Achive"/>
  </r>
  <r>
    <n v="800386"/>
    <s v="23-09-2024"/>
    <x v="1"/>
    <s v="Telangana"/>
    <s v="Warangal"/>
    <s v="Exchange Program"/>
    <s v="Om Sai Auto Hub"/>
    <s v="Tata Motors"/>
    <s v="PV - ICE"/>
    <x v="14"/>
    <s v="XZ+"/>
    <s v="Rohit Verma"/>
    <n v="1"/>
    <x v="12"/>
    <n v="639836.91"/>
    <n v="10"/>
    <n v="0"/>
    <x v="291"/>
    <n v="63983.69"/>
    <x v="291"/>
    <s v="Not achive"/>
  </r>
  <r>
    <n v="800003"/>
    <s v="24-09-2024"/>
    <x v="1"/>
    <s v="Tamil Nadu"/>
    <s v="Chennai"/>
    <s v="Online Booking"/>
    <s v="Big Wheels Auto"/>
    <s v="Tata Motors"/>
    <s v="PV - EV"/>
    <x v="5"/>
    <s v="Smart"/>
    <s v="Vikas Yadav"/>
    <n v="2"/>
    <x v="3"/>
    <n v="1170132.6200000001"/>
    <n v="10"/>
    <n v="0"/>
    <x v="292"/>
    <n v="234026.52"/>
    <x v="292"/>
    <s v="Achive"/>
  </r>
  <r>
    <n v="800084"/>
    <s v="24-09-2024"/>
    <x v="3"/>
    <s v="Gujarat"/>
    <s v="Ahmedabad"/>
    <s v="Corporate/Fleet Sale"/>
    <s v="Capital Cars"/>
    <s v="Tata Motors"/>
    <s v="PV - EV"/>
    <x v="5"/>
    <s v="Empowered"/>
    <s v="Anjali Rao"/>
    <n v="2"/>
    <x v="3"/>
    <n v="1218072.57"/>
    <n v="0"/>
    <n v="0"/>
    <x v="293"/>
    <n v="0"/>
    <x v="293"/>
    <s v="Achive"/>
  </r>
  <r>
    <n v="800286"/>
    <s v="24-09-2024"/>
    <x v="1"/>
    <s v="Telangana"/>
    <s v="Warangal"/>
    <s v="Corporate/Fleet Sale"/>
    <s v="Prerna Automobiles"/>
    <s v="Tata Motors"/>
    <s v="CV - Pickup"/>
    <x v="2"/>
    <s v="AC Cabin"/>
    <s v="Karan Mehta"/>
    <n v="1"/>
    <x v="2"/>
    <n v="782045.23"/>
    <n v="0"/>
    <n v="0"/>
    <x v="294"/>
    <n v="0"/>
    <x v="294"/>
    <s v="Not achive"/>
  </r>
  <r>
    <n v="800291"/>
    <s v="24-09-2024"/>
    <x v="0"/>
    <s v="Bihar"/>
    <s v="Gaya"/>
    <s v="Company Showroom"/>
    <s v="Statesman Cars"/>
    <s v="Tata Motors"/>
    <s v="PV - EV"/>
    <x v="12"/>
    <s v="XE"/>
    <s v="Amit Sharma"/>
    <n v="3"/>
    <x v="10"/>
    <n v="1261221.54"/>
    <n v="5"/>
    <n v="0"/>
    <x v="295"/>
    <n v="189183.23"/>
    <x v="295"/>
    <s v="Achive"/>
  </r>
  <r>
    <n v="800353"/>
    <s v="24-09-2024"/>
    <x v="1"/>
    <s v="Tamil Nadu"/>
    <s v="Chennai"/>
    <s v="Authorized Dealer"/>
    <s v="Landmark Motors"/>
    <s v="Tata Motors"/>
    <s v="PV - ICE"/>
    <x v="14"/>
    <s v="XZ+"/>
    <s v="Karan Mehta"/>
    <n v="2"/>
    <x v="12"/>
    <n v="647957.43999999994"/>
    <n v="0"/>
    <n v="0"/>
    <x v="296"/>
    <n v="0"/>
    <x v="296"/>
    <s v="Not achive"/>
  </r>
  <r>
    <n v="800114"/>
    <s v="26-09-2024"/>
    <x v="2"/>
    <s v="Punjab"/>
    <s v="Ludhiana"/>
    <s v="Corporate/Fleet Sale"/>
    <s v="Prerna Automobiles"/>
    <s v="Tata Motors"/>
    <s v="PV - ICE"/>
    <x v="10"/>
    <s v="Smart"/>
    <s v="Amit Sharma"/>
    <n v="3"/>
    <x v="8"/>
    <n v="951578.17"/>
    <n v="2"/>
    <n v="0"/>
    <x v="297"/>
    <n v="57094.69"/>
    <x v="297"/>
    <s v="Achive"/>
  </r>
  <r>
    <n v="800568"/>
    <s v="27-09-2024"/>
    <x v="2"/>
    <s v="Delhi"/>
    <s v="Dwarka"/>
    <s v="Authorized Dealer"/>
    <s v="Concorde Tata"/>
    <s v="Tata Motors"/>
    <s v="CV - SCV"/>
    <x v="1"/>
    <s v="Base"/>
    <s v="Karan Mehta"/>
    <n v="2"/>
    <x v="1"/>
    <n v="549659.07999999996"/>
    <n v="2"/>
    <n v="0"/>
    <x v="298"/>
    <n v="21986.36"/>
    <x v="298"/>
    <s v="Not achive"/>
  </r>
  <r>
    <n v="800365"/>
    <s v="28-09-2024"/>
    <x v="3"/>
    <s v="Gujarat"/>
    <s v="Ahmedabad"/>
    <s v="Online Booking"/>
    <s v="Big Wheels Auto"/>
    <s v="Tata Motors"/>
    <s v="PV - EV"/>
    <x v="12"/>
    <s v="XE"/>
    <s v="Divya Pillai"/>
    <n v="2"/>
    <x v="10"/>
    <n v="1236020.55"/>
    <n v="2"/>
    <n v="0"/>
    <x v="299"/>
    <n v="49440.82"/>
    <x v="299"/>
    <s v="Achive"/>
  </r>
  <r>
    <n v="800381"/>
    <s v="28-09-2024"/>
    <x v="3"/>
    <s v="Rajasthan"/>
    <s v="Jaipur"/>
    <s v="Authorized Dealer"/>
    <s v="Big Wheels Auto"/>
    <s v="Tata Motors"/>
    <s v="PV - ICE"/>
    <x v="6"/>
    <s v="Creative+"/>
    <s v="Anjali Rao"/>
    <n v="1"/>
    <x v="4"/>
    <n v="682039.5"/>
    <n v="5"/>
    <n v="0"/>
    <x v="300"/>
    <n v="34101.97"/>
    <x v="300"/>
    <s v="Not achive"/>
  </r>
  <r>
    <n v="800005"/>
    <s v="29-09-2024"/>
    <x v="2"/>
    <s v="Delhi"/>
    <s v="New Delhi"/>
    <s v="Corporate/Fleet Sale"/>
    <s v="Concorde Tata"/>
    <s v="Tata Motors"/>
    <s v="CV - Pickup"/>
    <x v="2"/>
    <s v="Base"/>
    <s v="Amit Sharma"/>
    <n v="4"/>
    <x v="2"/>
    <n v="787118.94"/>
    <n v="7.5"/>
    <n v="0"/>
    <x v="301"/>
    <n v="236135.67999999999"/>
    <x v="301"/>
    <s v="Achive"/>
  </r>
  <r>
    <n v="800355"/>
    <s v="30-09-2024"/>
    <x v="2"/>
    <s v="Punjab"/>
    <s v="Jalandhar"/>
    <s v="Exchange Program"/>
    <s v="Concorde Tata"/>
    <s v="Tata Motors"/>
    <s v="PV - EV"/>
    <x v="5"/>
    <s v="Empowered"/>
    <s v="Amit Sharma"/>
    <n v="2"/>
    <x v="3"/>
    <n v="1169892.1399999999"/>
    <n v="12.5"/>
    <n v="0"/>
    <x v="302"/>
    <n v="292473.03000000003"/>
    <x v="302"/>
    <s v="Achive"/>
  </r>
  <r>
    <n v="800560"/>
    <s v="30-09-2024"/>
    <x v="2"/>
    <s v="Uttar Pradesh"/>
    <s v="Agra"/>
    <s v="Online Booking"/>
    <s v="Sai Service Tata"/>
    <s v="Tata Motors"/>
    <s v="PV - ICE"/>
    <x v="4"/>
    <s v="XM"/>
    <s v="Suresh Kumar"/>
    <n v="1"/>
    <x v="2"/>
    <n v="786906.81"/>
    <n v="10"/>
    <n v="0"/>
    <x v="303"/>
    <n v="78690.679999999993"/>
    <x v="303"/>
    <s v="Not achive"/>
  </r>
  <r>
    <n v="800175"/>
    <s v="02-10-2024"/>
    <x v="1"/>
    <s v="Karnataka"/>
    <s v="Hubli"/>
    <s v="Corporate/Fleet Sale"/>
    <s v="Metro Tata Motors"/>
    <s v="Tata Motors"/>
    <s v="PV - ICE"/>
    <x v="6"/>
    <s v="Adventure"/>
    <s v="Rohit Verma"/>
    <n v="2"/>
    <x v="4"/>
    <n v="689568.1"/>
    <n v="0"/>
    <n v="0"/>
    <x v="304"/>
    <n v="0"/>
    <x v="304"/>
    <s v="Not achive"/>
  </r>
  <r>
    <n v="800237"/>
    <s v="02-10-2024"/>
    <x v="0"/>
    <s v="West Bengal"/>
    <s v="Kolkata"/>
    <s v="Online Booking"/>
    <s v="Prerna Automobiles"/>
    <s v="Tata Motors"/>
    <s v="PV - ICE"/>
    <x v="13"/>
    <s v="Smart"/>
    <s v="Rohit Verma"/>
    <n v="1"/>
    <x v="11"/>
    <n v="1926070.22"/>
    <n v="5"/>
    <n v="0"/>
    <x v="305"/>
    <n v="96303.51"/>
    <x v="305"/>
    <s v="Not achive"/>
  </r>
  <r>
    <n v="800357"/>
    <s v="02-10-2024"/>
    <x v="3"/>
    <s v="Rajasthan"/>
    <s v="Jodhpur"/>
    <s v="Corporate/Fleet Sale"/>
    <s v="Metro Tata Motors"/>
    <s v="Tata Motors"/>
    <s v="PV - ICE"/>
    <x v="4"/>
    <s v="XE"/>
    <s v="Neha Singh"/>
    <n v="1"/>
    <x v="2"/>
    <n v="807426.4"/>
    <n v="10"/>
    <n v="0"/>
    <x v="306"/>
    <n v="80742.64"/>
    <x v="306"/>
    <s v="Not achive"/>
  </r>
  <r>
    <n v="800363"/>
    <s v="02-10-2024"/>
    <x v="1"/>
    <s v="Tamil Nadu"/>
    <s v="Chennai"/>
    <s v="Online Booking"/>
    <s v="Prerna Automobiles"/>
    <s v="Tata Motors"/>
    <s v="PV - ICE"/>
    <x v="0"/>
    <s v="XZ"/>
    <s v="Neha Singh"/>
    <n v="1"/>
    <x v="0"/>
    <n v="729105.32"/>
    <n v="2"/>
    <n v="0"/>
    <x v="307"/>
    <n v="14582.11"/>
    <x v="307"/>
    <s v="Not achive"/>
  </r>
  <r>
    <n v="800490"/>
    <s v="02-10-2024"/>
    <x v="0"/>
    <s v="West Bengal"/>
    <s v="Howrah"/>
    <s v="Online Booking"/>
    <s v="Om Sai Auto Hub"/>
    <s v="Tata Motors"/>
    <s v="PV - ICE"/>
    <x v="6"/>
    <s v="Creative+"/>
    <s v="Suresh Kumar"/>
    <n v="2"/>
    <x v="4"/>
    <n v="683867.41"/>
    <n v="10"/>
    <n v="0"/>
    <x v="308"/>
    <n v="136773.48000000001"/>
    <x v="308"/>
    <s v="Not achive"/>
  </r>
  <r>
    <n v="800552"/>
    <s v="02-10-2024"/>
    <x v="0"/>
    <s v="Odisha"/>
    <s v="Cuttack"/>
    <s v="Exchange Program"/>
    <s v="Metro Tata Motors"/>
    <s v="Tata Motors"/>
    <s v="PV - ICE"/>
    <x v="6"/>
    <s v="Adventure"/>
    <s v="Neha Singh"/>
    <n v="3"/>
    <x v="4"/>
    <n v="700177.72"/>
    <n v="0"/>
    <n v="0"/>
    <x v="309"/>
    <n v="0"/>
    <x v="309"/>
    <s v="Achive"/>
  </r>
  <r>
    <n v="800329"/>
    <s v="04-10-2024"/>
    <x v="2"/>
    <s v="Haryana"/>
    <s v="Faridabad"/>
    <s v="Online Booking"/>
    <s v="Big Wheels Auto"/>
    <s v="Tata Motors"/>
    <s v="PV - ICE"/>
    <x v="10"/>
    <s v="Smart"/>
    <s v="Vikas Yadav"/>
    <n v="2"/>
    <x v="8"/>
    <n v="937268.7"/>
    <n v="12.5"/>
    <n v="0"/>
    <x v="310"/>
    <n v="234317.17"/>
    <x v="310"/>
    <s v="Not achive"/>
  </r>
  <r>
    <n v="800419"/>
    <s v="04-10-2024"/>
    <x v="0"/>
    <s v="West Bengal"/>
    <s v="Howrah"/>
    <s v="Exchange Program"/>
    <s v="Big Wheels Auto"/>
    <s v="Tata Motors"/>
    <s v="PV - ICE"/>
    <x v="3"/>
    <s v="Smart"/>
    <s v="Divya Pillai"/>
    <n v="2"/>
    <x v="3"/>
    <n v="1208019.46"/>
    <n v="0"/>
    <n v="0"/>
    <x v="311"/>
    <n v="0"/>
    <x v="311"/>
    <s v="Achive"/>
  </r>
  <r>
    <n v="800643"/>
    <s v="04-10-2024"/>
    <x v="2"/>
    <s v="Uttar Pradesh"/>
    <s v="Agra"/>
    <s v="Company Showroom"/>
    <s v="Sai Service Tata"/>
    <s v="Tata Motors"/>
    <s v="PV - EV"/>
    <x v="5"/>
    <s v="Empowered"/>
    <s v="Priya Nair"/>
    <n v="3"/>
    <x v="3"/>
    <n v="1193903.46"/>
    <n v="0"/>
    <n v="0"/>
    <x v="312"/>
    <n v="0"/>
    <x v="312"/>
    <s v="Achive"/>
  </r>
  <r>
    <n v="800583"/>
    <s v="05-10-2024"/>
    <x v="1"/>
    <s v="Telangana"/>
    <s v="Warangal"/>
    <s v="Exchange Program"/>
    <s v="Reliance Trishakti"/>
    <s v="Tata Motors"/>
    <s v="PV - ICE"/>
    <x v="10"/>
    <s v="Creative"/>
    <s v="Neha Singh"/>
    <n v="1"/>
    <x v="8"/>
    <n v="922836.98"/>
    <n v="0"/>
    <n v="0"/>
    <x v="313"/>
    <n v="0"/>
    <x v="313"/>
    <s v="Not achive"/>
  </r>
  <r>
    <n v="800137"/>
    <s v="06-10-2024"/>
    <x v="1"/>
    <s v="Tamil Nadu"/>
    <s v="Coimbatore"/>
    <s v="Online Booking"/>
    <s v="Metro Tata Motors"/>
    <s v="Tata Motors"/>
    <s v="PV - ICE"/>
    <x v="13"/>
    <s v="Pure"/>
    <s v="Sneha Kapoor"/>
    <n v="2"/>
    <x v="11"/>
    <n v="1935503.74"/>
    <n v="12.5"/>
    <n v="0"/>
    <x v="314"/>
    <n v="483875.93"/>
    <x v="314"/>
    <s v="Achive"/>
  </r>
  <r>
    <n v="800240"/>
    <s v="06-10-2024"/>
    <x v="2"/>
    <s v="Punjab"/>
    <s v="Jalandhar"/>
    <s v="Company Showroom"/>
    <s v="Capital Cars"/>
    <s v="Tata Motors"/>
    <s v="PV - ICE"/>
    <x v="0"/>
    <s v="XE"/>
    <s v="Sneha Kapoor"/>
    <n v="1"/>
    <x v="0"/>
    <n v="754903.63"/>
    <n v="0"/>
    <n v="0"/>
    <x v="315"/>
    <n v="0"/>
    <x v="315"/>
    <s v="Not achive"/>
  </r>
  <r>
    <n v="800607"/>
    <s v="06-10-2024"/>
    <x v="3"/>
    <s v="Maharashtra"/>
    <s v="Pune"/>
    <s v="Company Showroom"/>
    <s v="Sunrise Tata Showroom"/>
    <s v="Tata Motors"/>
    <s v="PV - ICE"/>
    <x v="13"/>
    <s v="Smart"/>
    <s v="Anjali Rao"/>
    <n v="2"/>
    <x v="11"/>
    <n v="1901710.38"/>
    <n v="5"/>
    <n v="0"/>
    <x v="316"/>
    <n v="190171.04"/>
    <x v="316"/>
    <s v="Achive"/>
  </r>
  <r>
    <n v="800623"/>
    <s v="06-10-2024"/>
    <x v="1"/>
    <s v="Karnataka"/>
    <s v="Hubli"/>
    <s v="Corporate/Fleet Sale"/>
    <s v="Capital Cars"/>
    <s v="Tata Motors"/>
    <s v="CV - SCV"/>
    <x v="1"/>
    <s v="CNG"/>
    <s v="Rohit Verma"/>
    <n v="6"/>
    <x v="1"/>
    <n v="550096.62"/>
    <n v="7.5"/>
    <n v="0"/>
    <x v="317"/>
    <n v="247543.48"/>
    <x v="317"/>
    <s v="Achive"/>
  </r>
  <r>
    <n v="800029"/>
    <s v="07-10-2024"/>
    <x v="3"/>
    <s v="Rajasthan"/>
    <s v="Jodhpur"/>
    <s v="Exchange Program"/>
    <s v="Sai Service Tata"/>
    <s v="Tata Motors"/>
    <s v="PV - EV"/>
    <x v="8"/>
    <s v="Empowered"/>
    <s v="Anjali Rao"/>
    <n v="1"/>
    <x v="6"/>
    <n v="1460643.29"/>
    <n v="0"/>
    <n v="0"/>
    <x v="318"/>
    <n v="0"/>
    <x v="318"/>
    <s v="Not achive"/>
  </r>
  <r>
    <n v="800092"/>
    <s v="07-10-2024"/>
    <x v="0"/>
    <s v="Bihar"/>
    <s v="Patna"/>
    <s v="Authorized Dealer"/>
    <s v="Landmark Motors"/>
    <s v="Tata Motors"/>
    <s v="PV - EV"/>
    <x v="5"/>
    <s v="Adventure"/>
    <s v="Amit Sharma"/>
    <n v="1"/>
    <x v="3"/>
    <n v="1178088"/>
    <n v="0"/>
    <n v="0"/>
    <x v="319"/>
    <n v="0"/>
    <x v="319"/>
    <s v="Not achive"/>
  </r>
  <r>
    <n v="800093"/>
    <s v="07-10-2024"/>
    <x v="0"/>
    <s v="Odisha"/>
    <s v="Cuttack"/>
    <s v="Online Booking"/>
    <s v="Reliance Trishakti"/>
    <s v="Tata Motors"/>
    <s v="PV - ICE"/>
    <x v="0"/>
    <s v="XZ"/>
    <s v="Karan Mehta"/>
    <n v="2"/>
    <x v="0"/>
    <n v="762714.49"/>
    <n v="5"/>
    <n v="1"/>
    <x v="320"/>
    <n v="76271.45"/>
    <x v="320"/>
    <s v="Not achive"/>
  </r>
  <r>
    <n v="800521"/>
    <s v="07-10-2024"/>
    <x v="3"/>
    <s v="Gujarat"/>
    <s v="Vadodara"/>
    <s v="Authorized Dealer"/>
    <s v="National Tata Dealership"/>
    <s v="Tata Motors"/>
    <s v="PV - ICE"/>
    <x v="4"/>
    <s v="XM"/>
    <s v="Amit Sharma"/>
    <n v="1"/>
    <x v="2"/>
    <n v="786955.73"/>
    <n v="10"/>
    <n v="0"/>
    <x v="321"/>
    <n v="78695.570000000007"/>
    <x v="321"/>
    <s v="Not achive"/>
  </r>
  <r>
    <n v="800644"/>
    <s v="08-10-2024"/>
    <x v="1"/>
    <s v="Karnataka"/>
    <s v="Hubli"/>
    <s v="Company Showroom"/>
    <s v="Capital Cars"/>
    <s v="Tata Motors"/>
    <s v="PV - EV"/>
    <x v="8"/>
    <s v="Creative"/>
    <s v="Vikas Yadav"/>
    <n v="2"/>
    <x v="6"/>
    <n v="1480599.01"/>
    <n v="0"/>
    <n v="0"/>
    <x v="322"/>
    <n v="0"/>
    <x v="322"/>
    <s v="Achive"/>
  </r>
  <r>
    <n v="800224"/>
    <s v="09-10-2024"/>
    <x v="3"/>
    <s v="Rajasthan"/>
    <s v="Jodhpur"/>
    <s v="Exchange Program"/>
    <s v="National Tata Dealership"/>
    <s v="Tata Motors"/>
    <s v="PV - ICE"/>
    <x v="0"/>
    <s v="XZ+"/>
    <s v="Suresh Kumar"/>
    <n v="2"/>
    <x v="0"/>
    <n v="731919.81"/>
    <n v="5"/>
    <n v="0"/>
    <x v="323"/>
    <n v="73191.98"/>
    <x v="323"/>
    <s v="Not achive"/>
  </r>
  <r>
    <n v="800233"/>
    <s v="10-10-2024"/>
    <x v="3"/>
    <s v="Maharashtra"/>
    <s v="Nagpur"/>
    <s v="Corporate/Fleet Sale"/>
    <s v="Prerna Automobiles"/>
    <s v="Tata Motors"/>
    <s v="CV - SCV"/>
    <x v="1"/>
    <s v="CNG"/>
    <s v="Priya Nair"/>
    <n v="2"/>
    <x v="1"/>
    <n v="549379.19999999995"/>
    <n v="5"/>
    <n v="0"/>
    <x v="324"/>
    <n v="54937.919999999998"/>
    <x v="324"/>
    <s v="Not achive"/>
  </r>
  <r>
    <n v="800280"/>
    <s v="10-10-2024"/>
    <x v="3"/>
    <s v="Maharashtra"/>
    <s v="Pune"/>
    <s v="Authorized Dealer"/>
    <s v="Landmark Motors"/>
    <s v="Tata Motors"/>
    <s v="PV - EV"/>
    <x v="5"/>
    <s v="Smart"/>
    <s v="Neha Singh"/>
    <n v="2"/>
    <x v="3"/>
    <n v="1221099.73"/>
    <n v="0"/>
    <n v="0"/>
    <x v="325"/>
    <n v="0"/>
    <x v="325"/>
    <s v="Achive"/>
  </r>
  <r>
    <n v="800182"/>
    <s v="11-10-2024"/>
    <x v="2"/>
    <s v="Punjab"/>
    <s v="Amritsar"/>
    <s v="Corporate/Fleet Sale"/>
    <s v="Metro Tata Motors"/>
    <s v="Tata Motors"/>
    <s v="PV - ICE"/>
    <x v="4"/>
    <s v="XE"/>
    <s v="Sneha Kapoor"/>
    <n v="2"/>
    <x v="2"/>
    <n v="815714.26"/>
    <n v="10"/>
    <n v="0"/>
    <x v="326"/>
    <n v="163142.85"/>
    <x v="326"/>
    <s v="Not achive"/>
  </r>
  <r>
    <n v="800323"/>
    <s v="12-10-2024"/>
    <x v="3"/>
    <s v="Maharashtra"/>
    <s v="Nagpur"/>
    <s v="Authorized Dealer"/>
    <s v="Statesman Cars"/>
    <s v="Tata Motors"/>
    <s v="PV - ICE"/>
    <x v="0"/>
    <s v="XZ"/>
    <s v="Karan Mehta"/>
    <n v="2"/>
    <x v="0"/>
    <n v="757584.93"/>
    <n v="12.5"/>
    <n v="0"/>
    <x v="327"/>
    <n v="189396.23"/>
    <x v="327"/>
    <s v="Not achive"/>
  </r>
  <r>
    <n v="800373"/>
    <s v="13-10-2024"/>
    <x v="2"/>
    <s v="Punjab"/>
    <s v="Jalandhar"/>
    <s v="Online Booking"/>
    <s v="Big Wheels Auto"/>
    <s v="Tata Motors"/>
    <s v="CV - Pickup"/>
    <x v="2"/>
    <s v="Base"/>
    <s v="Divya Pillai"/>
    <n v="4"/>
    <x v="2"/>
    <n v="785179.45"/>
    <n v="12.5"/>
    <n v="0"/>
    <x v="328"/>
    <n v="392589.72"/>
    <x v="328"/>
    <s v="Achive"/>
  </r>
  <r>
    <n v="800508"/>
    <s v="13-10-2024"/>
    <x v="2"/>
    <s v="Punjab"/>
    <s v="Ludhiana"/>
    <s v="Online Booking"/>
    <s v="Sai Service Tata"/>
    <s v="Tata Motors"/>
    <s v="CV - Pickup"/>
    <x v="9"/>
    <s v="CX"/>
    <s v="Rohit Verma"/>
    <n v="2"/>
    <x v="7"/>
    <n v="1009036.56"/>
    <n v="5"/>
    <n v="0"/>
    <x v="329"/>
    <n v="100903.66"/>
    <x v="329"/>
    <s v="Not achive"/>
  </r>
  <r>
    <n v="800311"/>
    <s v="14-10-2024"/>
    <x v="1"/>
    <s v="Karnataka"/>
    <s v="Hubli"/>
    <s v="Authorized Dealer"/>
    <s v="Reliance Trishakti"/>
    <s v="Tata Motors"/>
    <s v="PV - ICE"/>
    <x v="13"/>
    <s v="Smart"/>
    <s v="Vikas Yadav"/>
    <n v="3"/>
    <x v="11"/>
    <n v="1926313.59"/>
    <n v="5"/>
    <n v="0"/>
    <x v="330"/>
    <n v="288947.03999999998"/>
    <x v="330"/>
    <s v="Achive"/>
  </r>
  <r>
    <n v="800379"/>
    <s v="14-10-2024"/>
    <x v="2"/>
    <s v="Delhi"/>
    <s v="New Delhi"/>
    <s v="Online Booking"/>
    <s v="National Tata Dealership"/>
    <s v="Tata Motors"/>
    <s v="PV - EV"/>
    <x v="8"/>
    <s v="Creative"/>
    <s v="Amit Sharma"/>
    <n v="2"/>
    <x v="6"/>
    <n v="1471632.77"/>
    <n v="0"/>
    <n v="0"/>
    <x v="331"/>
    <n v="0"/>
    <x v="331"/>
    <s v="Achive"/>
  </r>
  <r>
    <n v="800298"/>
    <s v="15-10-2024"/>
    <x v="3"/>
    <s v="Gujarat"/>
    <s v="Ahmedabad"/>
    <s v="Exchange Program"/>
    <s v="Big Wheels Auto"/>
    <s v="Tata Motors"/>
    <s v="PV - ICE"/>
    <x v="10"/>
    <s v="Smart"/>
    <s v="Rohit Verma"/>
    <n v="3"/>
    <x v="8"/>
    <n v="960966.33"/>
    <n v="0"/>
    <n v="0"/>
    <x v="332"/>
    <n v="0"/>
    <x v="332"/>
    <s v="Achive"/>
  </r>
  <r>
    <n v="800142"/>
    <s v="16-10-2024"/>
    <x v="3"/>
    <s v="Rajasthan"/>
    <s v="Jodhpur"/>
    <s v="Online Booking"/>
    <s v="Big Wheels Auto"/>
    <s v="Tata Motors"/>
    <s v="PV - ICE"/>
    <x v="7"/>
    <s v="Pure"/>
    <s v="Vikas Yadav"/>
    <n v="1"/>
    <x v="5"/>
    <n v="1651202.63"/>
    <n v="0"/>
    <n v="0"/>
    <x v="333"/>
    <n v="0"/>
    <x v="333"/>
    <s v="Not achive"/>
  </r>
  <r>
    <n v="800444"/>
    <s v="16-10-2024"/>
    <x v="3"/>
    <s v="Maharashtra"/>
    <s v="Pune"/>
    <s v="Corporate/Fleet Sale"/>
    <s v="Big Wheels Auto"/>
    <s v="Tata Motors"/>
    <s v="PV - ICE"/>
    <x v="7"/>
    <s v="Pure"/>
    <s v="Vikas Yadav"/>
    <n v="3"/>
    <x v="5"/>
    <n v="1672449.65"/>
    <n v="0"/>
    <n v="0"/>
    <x v="334"/>
    <n v="0"/>
    <x v="334"/>
    <s v="Achive"/>
  </r>
  <r>
    <n v="800600"/>
    <s v="16-10-2024"/>
    <x v="2"/>
    <s v="Uttar Pradesh"/>
    <s v="Agra"/>
    <s v="Exchange Program"/>
    <s v="Metro Tata Motors"/>
    <s v="Tata Motors"/>
    <s v="PV - EV"/>
    <x v="5"/>
    <s v="Empowered"/>
    <s v="Neha Singh"/>
    <n v="3"/>
    <x v="3"/>
    <n v="1171323.23"/>
    <n v="2"/>
    <n v="0"/>
    <x v="335"/>
    <n v="70279.39"/>
    <x v="335"/>
    <s v="Achive"/>
  </r>
  <r>
    <n v="800045"/>
    <s v="17-10-2024"/>
    <x v="2"/>
    <s v="Uttar Pradesh"/>
    <s v="Noida"/>
    <s v="Online Booking"/>
    <s v="National Tata Dealership"/>
    <s v="Tata Motors"/>
    <s v="PV - ICE"/>
    <x v="13"/>
    <s v="Smart"/>
    <s v="Karan Mehta"/>
    <n v="2"/>
    <x v="11"/>
    <n v="1888313.07"/>
    <n v="7.5"/>
    <n v="0"/>
    <x v="336"/>
    <n v="283246.96000000002"/>
    <x v="336"/>
    <s v="Achive"/>
  </r>
  <r>
    <n v="800203"/>
    <s v="17-10-2024"/>
    <x v="2"/>
    <s v="Uttar Pradesh"/>
    <s v="Agra"/>
    <s v="Authorized Dealer"/>
    <s v="Prerna Automobiles"/>
    <s v="Tata Motors"/>
    <s v="PV - EV"/>
    <x v="12"/>
    <s v="XE"/>
    <s v="Sneha Kapoor"/>
    <n v="1"/>
    <x v="10"/>
    <n v="1231204.81"/>
    <n v="2"/>
    <n v="0"/>
    <x v="337"/>
    <n v="24624.1"/>
    <x v="337"/>
    <s v="Not achive"/>
  </r>
  <r>
    <n v="800581"/>
    <s v="17-10-2024"/>
    <x v="0"/>
    <s v="West Bengal"/>
    <s v="Howrah"/>
    <s v="Authorized Dealer"/>
    <s v="Landmark Motors"/>
    <s v="Tata Motors"/>
    <s v="PV - ICE"/>
    <x v="4"/>
    <s v="XZ+"/>
    <s v="Rohit Verma"/>
    <n v="3"/>
    <x v="2"/>
    <n v="782565.77"/>
    <n v="10"/>
    <n v="0"/>
    <x v="338"/>
    <n v="234769.73"/>
    <x v="338"/>
    <s v="Achive"/>
  </r>
  <r>
    <n v="800217"/>
    <s v="18-10-2024"/>
    <x v="2"/>
    <s v="Punjab"/>
    <s v="Ludhiana"/>
    <s v="Online Booking"/>
    <s v="Concorde Tata"/>
    <s v="Tata Motors"/>
    <s v="PV - ICE"/>
    <x v="14"/>
    <s v="XE"/>
    <s v="Rohit Verma"/>
    <n v="1"/>
    <x v="12"/>
    <n v="647096.98"/>
    <n v="2"/>
    <n v="0"/>
    <x v="339"/>
    <n v="12941.94"/>
    <x v="339"/>
    <s v="Not achive"/>
  </r>
  <r>
    <n v="800582"/>
    <s v="18-10-2024"/>
    <x v="0"/>
    <s v="Bihar"/>
    <s v="Gaya"/>
    <s v="Exchange Program"/>
    <s v="Reliance Trishakti"/>
    <s v="Tata Motors"/>
    <s v="PV - EV"/>
    <x v="11"/>
    <s v="Empowered"/>
    <s v="Priya Nair"/>
    <n v="2"/>
    <x v="9"/>
    <n v="1796602.99"/>
    <n v="0"/>
    <n v="0"/>
    <x v="340"/>
    <n v="0"/>
    <x v="340"/>
    <s v="Achive"/>
  </r>
  <r>
    <n v="800390"/>
    <s v="19-10-2024"/>
    <x v="1"/>
    <s v="Telangana"/>
    <s v="Hyderabad"/>
    <s v="Exchange Program"/>
    <s v="Statesman Cars"/>
    <s v="Tata Motors"/>
    <s v="PV - ICE"/>
    <x v="14"/>
    <s v="XZ+"/>
    <s v="Sneha Kapoor"/>
    <n v="2"/>
    <x v="12"/>
    <n v="661038.77"/>
    <n v="0"/>
    <n v="0"/>
    <x v="341"/>
    <n v="0"/>
    <x v="341"/>
    <s v="Not achive"/>
  </r>
  <r>
    <n v="800443"/>
    <s v="19-10-2024"/>
    <x v="2"/>
    <s v="Uttar Pradesh"/>
    <s v="Kanpur"/>
    <s v="Exchange Program"/>
    <s v="Capital Cars"/>
    <s v="Tata Motors"/>
    <s v="PV - EV"/>
    <x v="11"/>
    <s v="Empowered"/>
    <s v="Anjali Rao"/>
    <n v="1"/>
    <x v="9"/>
    <n v="1768265.29"/>
    <n v="5"/>
    <n v="0"/>
    <x v="342"/>
    <n v="88413.26"/>
    <x v="342"/>
    <s v="Not achive"/>
  </r>
  <r>
    <n v="800534"/>
    <s v="19-10-2024"/>
    <x v="3"/>
    <s v="Rajasthan"/>
    <s v="Jaipur"/>
    <s v="Exchange Program"/>
    <s v="Landmark Motors"/>
    <s v="Tata Motors"/>
    <s v="PV - EV"/>
    <x v="8"/>
    <s v="Creative"/>
    <s v="Anjali Rao"/>
    <n v="2"/>
    <x v="6"/>
    <n v="1510010.72"/>
    <n v="0"/>
    <n v="0"/>
    <x v="343"/>
    <n v="0"/>
    <x v="343"/>
    <s v="Achive"/>
  </r>
  <r>
    <n v="800628"/>
    <s v="19-10-2024"/>
    <x v="1"/>
    <s v="Kerala"/>
    <s v="Thiruvananthapuram"/>
    <s v="Exchange Program"/>
    <s v="Concorde Tata"/>
    <s v="Tata Motors"/>
    <s v="CV - SCV"/>
    <x v="1"/>
    <s v="Base"/>
    <s v="Amit Sharma"/>
    <n v="6"/>
    <x v="1"/>
    <n v="551693.4"/>
    <n v="0"/>
    <n v="0"/>
    <x v="344"/>
    <n v="0"/>
    <x v="344"/>
    <s v="Achive"/>
  </r>
  <r>
    <n v="800024"/>
    <s v="20-10-2024"/>
    <x v="2"/>
    <s v="Punjab"/>
    <s v="Jalandhar"/>
    <s v="Exchange Program"/>
    <s v="National Tata Dealership"/>
    <s v="Tata Motors"/>
    <s v="PV - EV"/>
    <x v="11"/>
    <s v="Accomplished"/>
    <s v="Rohit Verma"/>
    <n v="1"/>
    <x v="9"/>
    <n v="1806275.34"/>
    <n v="7.5"/>
    <n v="0"/>
    <x v="345"/>
    <n v="135470.65"/>
    <x v="345"/>
    <s v="Not achive"/>
  </r>
  <r>
    <n v="800166"/>
    <s v="20-10-2024"/>
    <x v="3"/>
    <s v="Rajasthan"/>
    <s v="Jodhpur"/>
    <s v="Corporate/Fleet Sale"/>
    <s v="Capital Cars"/>
    <s v="Tata Motors"/>
    <s v="PV - ICE"/>
    <x v="10"/>
    <s v="Fearless+"/>
    <s v="Rohit Verma"/>
    <n v="2"/>
    <x v="8"/>
    <n v="927289.02"/>
    <n v="10"/>
    <n v="0"/>
    <x v="346"/>
    <n v="185457.8"/>
    <x v="346"/>
    <s v="Not achive"/>
  </r>
  <r>
    <n v="800246"/>
    <s v="21-10-2024"/>
    <x v="3"/>
    <s v="Gujarat"/>
    <s v="Vadodara"/>
    <s v="Authorized Dealer"/>
    <s v="National Tata Dealership"/>
    <s v="Tata Motors"/>
    <s v="PV - ICE"/>
    <x v="0"/>
    <s v="XE"/>
    <s v="Rohit Verma"/>
    <n v="1"/>
    <x v="0"/>
    <n v="728993.51"/>
    <n v="0"/>
    <n v="0"/>
    <x v="347"/>
    <n v="0"/>
    <x v="347"/>
    <s v="Not achive"/>
  </r>
  <r>
    <n v="800284"/>
    <s v="21-10-2024"/>
    <x v="0"/>
    <s v="Bihar"/>
    <s v="Patna"/>
    <s v="Authorized Dealer"/>
    <s v="Prerna Automobiles"/>
    <s v="Tata Motors"/>
    <s v="PV - ICE"/>
    <x v="4"/>
    <s v="XZ+"/>
    <s v="Rohit Verma"/>
    <n v="1"/>
    <x v="2"/>
    <n v="794942.83"/>
    <n v="0"/>
    <n v="0"/>
    <x v="348"/>
    <n v="0"/>
    <x v="348"/>
    <s v="Not achive"/>
  </r>
  <r>
    <n v="800020"/>
    <s v="23-10-2024"/>
    <x v="0"/>
    <s v="Odisha"/>
    <s v="Cuttack"/>
    <s v="Authorized Dealer"/>
    <s v="Reliance Trishakti"/>
    <s v="Tata Motors"/>
    <s v="PV - EV"/>
    <x v="11"/>
    <s v="Creative"/>
    <s v="Amit Sharma"/>
    <n v="1"/>
    <x v="9"/>
    <n v="1760968"/>
    <n v="12.5"/>
    <n v="0"/>
    <x v="349"/>
    <n v="220121"/>
    <x v="349"/>
    <s v="Not achive"/>
  </r>
  <r>
    <n v="800070"/>
    <s v="23-10-2024"/>
    <x v="2"/>
    <s v="Punjab"/>
    <s v="Ludhiana"/>
    <s v="Online Booking"/>
    <s v="Big Wheels Auto"/>
    <s v="Tata Motors"/>
    <s v="PV - ICE"/>
    <x v="10"/>
    <s v="Fearless+"/>
    <s v="Amit Sharma"/>
    <n v="1"/>
    <x v="8"/>
    <n v="937165.67"/>
    <n v="12.5"/>
    <n v="0"/>
    <x v="350"/>
    <n v="117145.71"/>
    <x v="350"/>
    <s v="Not achive"/>
  </r>
  <r>
    <n v="800106"/>
    <s v="23-10-2024"/>
    <x v="1"/>
    <s v="Tamil Nadu"/>
    <s v="Chennai"/>
    <s v="Corporate/Fleet Sale"/>
    <s v="Sai Service Tata"/>
    <s v="Tata Motors"/>
    <s v="CV - SCV"/>
    <x v="1"/>
    <s v="CNG"/>
    <s v="Neha Singh"/>
    <n v="3"/>
    <x v="1"/>
    <n v="533667.91"/>
    <n v="0"/>
    <n v="0"/>
    <x v="351"/>
    <n v="0"/>
    <x v="351"/>
    <s v="Not achive"/>
  </r>
  <r>
    <n v="800113"/>
    <s v="23-10-2024"/>
    <x v="2"/>
    <s v="Haryana"/>
    <s v="Faridabad"/>
    <s v="Exchange Program"/>
    <s v="Capital Cars"/>
    <s v="Tata Motors"/>
    <s v="CV - Pickup"/>
    <x v="2"/>
    <s v="AC Cabin"/>
    <s v="Amit Sharma"/>
    <n v="4"/>
    <x v="2"/>
    <n v="809779.37"/>
    <n v="2"/>
    <n v="0"/>
    <x v="352"/>
    <n v="64782.35"/>
    <x v="352"/>
    <s v="Achive"/>
  </r>
  <r>
    <n v="800483"/>
    <s v="23-10-2024"/>
    <x v="3"/>
    <s v="Rajasthan"/>
    <s v="Jaipur"/>
    <s v="Online Booking"/>
    <s v="Sai Service Tata"/>
    <s v="Tata Motors"/>
    <s v="CV - SCV"/>
    <x v="1"/>
    <s v="Base"/>
    <s v="Neha Singh"/>
    <n v="5"/>
    <x v="1"/>
    <n v="551359.91"/>
    <n v="5"/>
    <n v="0"/>
    <x v="353"/>
    <n v="137839.98000000001"/>
    <x v="353"/>
    <s v="Achive"/>
  </r>
  <r>
    <n v="800550"/>
    <s v="23-10-2024"/>
    <x v="3"/>
    <s v="Rajasthan"/>
    <s v="Jodhpur"/>
    <s v="Corporate/Fleet Sale"/>
    <s v="Sai Service Tata"/>
    <s v="Tata Motors"/>
    <s v="PV - ICE"/>
    <x v="0"/>
    <s v="XZ+"/>
    <s v="Priya Nair"/>
    <n v="1"/>
    <x v="0"/>
    <n v="732728.37"/>
    <n v="0"/>
    <n v="0"/>
    <x v="354"/>
    <n v="0"/>
    <x v="354"/>
    <s v="Not achive"/>
  </r>
  <r>
    <n v="800622"/>
    <s v="24-10-2024"/>
    <x v="2"/>
    <s v="Punjab"/>
    <s v="Amritsar"/>
    <s v="Online Booking"/>
    <s v="Sunrise Tata Showroom"/>
    <s v="Tata Motors"/>
    <s v="PV - ICE"/>
    <x v="4"/>
    <s v="XE"/>
    <s v="Sneha Kapoor"/>
    <n v="1"/>
    <x v="2"/>
    <n v="776820.48"/>
    <n v="2"/>
    <n v="0"/>
    <x v="355"/>
    <n v="15536.41"/>
    <x v="355"/>
    <s v="Not achive"/>
  </r>
  <r>
    <n v="800112"/>
    <s v="25-10-2024"/>
    <x v="0"/>
    <s v="Bihar"/>
    <s v="Gaya"/>
    <s v="Authorized Dealer"/>
    <s v="Big Wheels Auto"/>
    <s v="Tata Motors"/>
    <s v="PV - EV"/>
    <x v="12"/>
    <s v="XZ+"/>
    <s v="Karan Mehta"/>
    <n v="2"/>
    <x v="10"/>
    <n v="1256843.69"/>
    <n v="10"/>
    <n v="0"/>
    <x v="356"/>
    <n v="251368.74"/>
    <x v="356"/>
    <s v="Achive"/>
  </r>
  <r>
    <n v="800349"/>
    <s v="26-10-2024"/>
    <x v="2"/>
    <s v="Delhi"/>
    <s v="New Delhi"/>
    <s v="Authorized Dealer"/>
    <s v="Statesman Cars"/>
    <s v="Tata Motors"/>
    <s v="CV - SCV"/>
    <x v="1"/>
    <s v="CNG"/>
    <s v="Divya Pillai"/>
    <n v="1"/>
    <x v="1"/>
    <n v="549311.46"/>
    <n v="2"/>
    <n v="0"/>
    <x v="357"/>
    <n v="10986.23"/>
    <x v="357"/>
    <s v="Not achive"/>
  </r>
  <r>
    <n v="800595"/>
    <s v="26-10-2024"/>
    <x v="3"/>
    <s v="Rajasthan"/>
    <s v="Jaipur"/>
    <s v="Online Booking"/>
    <s v="Landmark Motors"/>
    <s v="Tata Motors"/>
    <s v="PV - ICE"/>
    <x v="14"/>
    <s v="XE"/>
    <s v="Neha Singh"/>
    <n v="3"/>
    <x v="12"/>
    <n v="640184.31999999995"/>
    <n v="0"/>
    <n v="0"/>
    <x v="358"/>
    <n v="0"/>
    <x v="358"/>
    <s v="Not achive"/>
  </r>
  <r>
    <n v="800064"/>
    <s v="27-10-2024"/>
    <x v="1"/>
    <s v="Tamil Nadu"/>
    <s v="Chennai"/>
    <s v="Company Showroom"/>
    <s v="Reliance Trishakti"/>
    <s v="Tata Motors"/>
    <s v="PV - ICE"/>
    <x v="6"/>
    <s v="Adventure"/>
    <s v="Amit Sharma"/>
    <n v="1"/>
    <x v="4"/>
    <n v="687395.28"/>
    <n v="0"/>
    <n v="0"/>
    <x v="359"/>
    <n v="0"/>
    <x v="359"/>
    <s v="Not achive"/>
  </r>
  <r>
    <n v="800317"/>
    <s v="27-10-2024"/>
    <x v="2"/>
    <s v="Haryana"/>
    <s v="Gurugram"/>
    <s v="Authorized Dealer"/>
    <s v="Capital Cars"/>
    <s v="Tata Motors"/>
    <s v="PV - ICE"/>
    <x v="6"/>
    <s v="Creative+"/>
    <s v="Vikas Yadav"/>
    <n v="2"/>
    <x v="4"/>
    <n v="708102.46"/>
    <n v="2"/>
    <n v="0"/>
    <x v="360"/>
    <n v="28324.1"/>
    <x v="360"/>
    <s v="Not achive"/>
  </r>
  <r>
    <n v="800031"/>
    <s v="28-10-2024"/>
    <x v="0"/>
    <s v="Odisha"/>
    <s v="Cuttack"/>
    <s v="Company Showroom"/>
    <s v="Statesman Cars"/>
    <s v="Tata Motors"/>
    <s v="CV - SCV"/>
    <x v="1"/>
    <s v="Base"/>
    <s v="Sneha Kapoor"/>
    <n v="1"/>
    <x v="1"/>
    <n v="538432.42000000004"/>
    <n v="7.5"/>
    <n v="0"/>
    <x v="361"/>
    <n v="40382.43"/>
    <x v="361"/>
    <s v="Not achive"/>
  </r>
  <r>
    <n v="800103"/>
    <s v="28-10-2024"/>
    <x v="0"/>
    <s v="Bihar"/>
    <s v="Patna"/>
    <s v="Authorized Dealer"/>
    <s v="Concorde Tata"/>
    <s v="Tata Motors"/>
    <s v="PV - EV"/>
    <x v="8"/>
    <s v="Creative"/>
    <s v="Neha Singh"/>
    <n v="1"/>
    <x v="6"/>
    <n v="1496727.81"/>
    <n v="7.5"/>
    <n v="0"/>
    <x v="362"/>
    <n v="112254.59"/>
    <x v="362"/>
    <s v="Not achive"/>
  </r>
  <r>
    <n v="800396"/>
    <s v="28-10-2024"/>
    <x v="0"/>
    <s v="Odisha"/>
    <s v="Cuttack"/>
    <s v="Online Booking"/>
    <s v="Sai Service Tata"/>
    <s v="Tata Motors"/>
    <s v="PV - ICE"/>
    <x v="10"/>
    <s v="Creative"/>
    <s v="Neha Singh"/>
    <n v="2"/>
    <x v="8"/>
    <n v="948116.63"/>
    <n v="5"/>
    <n v="0"/>
    <x v="363"/>
    <n v="94811.66"/>
    <x v="363"/>
    <s v="Not achive"/>
  </r>
  <r>
    <n v="800208"/>
    <s v="29-10-2024"/>
    <x v="0"/>
    <s v="Bihar"/>
    <s v="Patna"/>
    <s v="Authorized Dealer"/>
    <s v="Big Wheels Auto"/>
    <s v="Tata Motors"/>
    <s v="PV - EV"/>
    <x v="11"/>
    <s v="Creative"/>
    <s v="Karan Mehta"/>
    <n v="3"/>
    <x v="9"/>
    <n v="1816599.49"/>
    <n v="10"/>
    <n v="1"/>
    <x v="364"/>
    <n v="544979.85"/>
    <x v="364"/>
    <s v="Achive"/>
  </r>
  <r>
    <n v="800307"/>
    <s v="29-10-2024"/>
    <x v="1"/>
    <s v="Telangana"/>
    <s v="Hyderabad"/>
    <s v="Online Booking"/>
    <s v="Landmark Motors"/>
    <s v="Tata Motors"/>
    <s v="CV - Pickup"/>
    <x v="2"/>
    <s v="Base"/>
    <s v="Priya Nair"/>
    <n v="2"/>
    <x v="2"/>
    <n v="796019.09"/>
    <n v="10"/>
    <n v="0"/>
    <x v="365"/>
    <n v="159203.82"/>
    <x v="365"/>
    <s v="Not achive"/>
  </r>
  <r>
    <n v="800436"/>
    <s v="29-10-2024"/>
    <x v="3"/>
    <s v="Rajasthan"/>
    <s v="Jaipur"/>
    <s v="Company Showroom"/>
    <s v="Concorde Tata"/>
    <s v="Tata Motors"/>
    <s v="PV - EV"/>
    <x v="5"/>
    <s v="Adventure"/>
    <s v="Neha Singh"/>
    <n v="3"/>
    <x v="3"/>
    <n v="1219448.28"/>
    <n v="0"/>
    <n v="0"/>
    <x v="366"/>
    <n v="0"/>
    <x v="366"/>
    <s v="Achive"/>
  </r>
  <r>
    <n v="800469"/>
    <s v="29-10-2024"/>
    <x v="1"/>
    <s v="Kerala"/>
    <s v="Thiruvananthapuram"/>
    <s v="Online Booking"/>
    <s v="Landmark Motors"/>
    <s v="Tata Motors"/>
    <s v="PV - ICE"/>
    <x v="7"/>
    <s v="Smart"/>
    <s v="Priya Nair"/>
    <n v="1"/>
    <x v="5"/>
    <n v="1702312.04"/>
    <n v="7.5"/>
    <n v="0"/>
    <x v="367"/>
    <n v="127673.4"/>
    <x v="367"/>
    <s v="Not achive"/>
  </r>
  <r>
    <n v="800500"/>
    <s v="29-10-2024"/>
    <x v="1"/>
    <s v="Karnataka"/>
    <s v="Mysuru"/>
    <s v="Company Showroom"/>
    <s v="Om Sai Auto Hub"/>
    <s v="Tata Motors"/>
    <s v="CV - Pickup"/>
    <x v="2"/>
    <s v="Base"/>
    <s v="Neha Singh"/>
    <n v="1"/>
    <x v="2"/>
    <n v="814693.83"/>
    <n v="0"/>
    <n v="0"/>
    <x v="368"/>
    <n v="0"/>
    <x v="368"/>
    <s v="Not achive"/>
  </r>
  <r>
    <n v="800592"/>
    <s v="29-10-2024"/>
    <x v="2"/>
    <s v="Uttar Pradesh"/>
    <s v="Agra"/>
    <s v="Online Booking"/>
    <s v="Statesman Cars"/>
    <s v="Tata Motors"/>
    <s v="PV - ICE"/>
    <x v="6"/>
    <s v="Pure"/>
    <s v="Rohit Verma"/>
    <n v="2"/>
    <x v="4"/>
    <n v="693359.11"/>
    <n v="0"/>
    <n v="0"/>
    <x v="369"/>
    <n v="0"/>
    <x v="369"/>
    <s v="Not achive"/>
  </r>
  <r>
    <n v="800044"/>
    <s v="30-10-2024"/>
    <x v="3"/>
    <s v="Maharashtra"/>
    <s v="Nagpur"/>
    <s v="Online Booking"/>
    <s v="Sai Service Tata"/>
    <s v="Tata Motors"/>
    <s v="PV - ICE"/>
    <x v="4"/>
    <s v="XZ+"/>
    <s v="Vikas Yadav"/>
    <n v="1"/>
    <x v="2"/>
    <n v="792594.72"/>
    <n v="7.5"/>
    <n v="0"/>
    <x v="370"/>
    <n v="59444.6"/>
    <x v="370"/>
    <s v="Not achive"/>
  </r>
  <r>
    <n v="800466"/>
    <s v="30-10-2024"/>
    <x v="3"/>
    <s v="Rajasthan"/>
    <s v="Jodhpur"/>
    <s v="Company Showroom"/>
    <s v="Landmark Motors"/>
    <s v="Tata Motors"/>
    <s v="PV - ICE"/>
    <x v="0"/>
    <s v="XE"/>
    <s v="Priya Nair"/>
    <n v="3"/>
    <x v="0"/>
    <n v="757377.47"/>
    <n v="2"/>
    <n v="0"/>
    <x v="371"/>
    <n v="45442.65"/>
    <x v="371"/>
    <s v="Achive"/>
  </r>
  <r>
    <n v="800009"/>
    <s v="03-11-2024"/>
    <x v="0"/>
    <s v="West Bengal"/>
    <s v="Kolkata"/>
    <s v="Company Showroom"/>
    <s v="Om Sai Auto Hub"/>
    <s v="Tata Motors"/>
    <s v="PV - ICE"/>
    <x v="3"/>
    <s v="Smart"/>
    <s v="Anjali Rao"/>
    <n v="1"/>
    <x v="3"/>
    <n v="1173170.48"/>
    <n v="0"/>
    <n v="0"/>
    <x v="372"/>
    <n v="0"/>
    <x v="372"/>
    <s v="Not achive"/>
  </r>
  <r>
    <n v="800122"/>
    <s v="03-11-2024"/>
    <x v="0"/>
    <s v="Bihar"/>
    <s v="Patna"/>
    <s v="Corporate/Fleet Sale"/>
    <s v="Om Sai Auto Hub"/>
    <s v="Tata Motors"/>
    <s v="PV - EV"/>
    <x v="8"/>
    <s v="Empowered"/>
    <s v="Neha Singh"/>
    <n v="1"/>
    <x v="6"/>
    <n v="1505258.73"/>
    <n v="0"/>
    <n v="0"/>
    <x v="373"/>
    <n v="0"/>
    <x v="373"/>
    <s v="Not achive"/>
  </r>
  <r>
    <n v="800585"/>
    <s v="03-11-2024"/>
    <x v="1"/>
    <s v="Tamil Nadu"/>
    <s v="Chennai"/>
    <s v="Corporate/Fleet Sale"/>
    <s v="Concorde Tata"/>
    <s v="Tata Motors"/>
    <s v="PV - ICE"/>
    <x v="10"/>
    <s v="Smart"/>
    <s v="Anjali Rao"/>
    <n v="3"/>
    <x v="8"/>
    <n v="936990.55"/>
    <n v="12.5"/>
    <n v="0"/>
    <x v="374"/>
    <n v="351371.46"/>
    <x v="374"/>
    <s v="Achive"/>
  </r>
  <r>
    <n v="800566"/>
    <s v="04-11-2024"/>
    <x v="2"/>
    <s v="Delhi"/>
    <s v="New Delhi"/>
    <s v="Company Showroom"/>
    <s v="Sai Service Tata"/>
    <s v="Tata Motors"/>
    <s v="PV - ICE"/>
    <x v="4"/>
    <s v="XZ+"/>
    <s v="Vikas Yadav"/>
    <n v="2"/>
    <x v="2"/>
    <n v="781013.77"/>
    <n v="0"/>
    <n v="0"/>
    <x v="375"/>
    <n v="0"/>
    <x v="375"/>
    <s v="Not achive"/>
  </r>
  <r>
    <n v="800008"/>
    <s v="06-11-2024"/>
    <x v="1"/>
    <s v="Karnataka"/>
    <s v="Bengaluru"/>
    <s v="Online Booking"/>
    <s v="Metro Tata Motors"/>
    <s v="Tata Motors"/>
    <s v="CV - Pickup"/>
    <x v="9"/>
    <s v="CX"/>
    <s v="Suresh Kumar"/>
    <n v="3"/>
    <x v="7"/>
    <n v="976981.52"/>
    <n v="5"/>
    <n v="0"/>
    <x v="376"/>
    <n v="146547.23000000001"/>
    <x v="376"/>
    <s v="Achive"/>
  </r>
  <r>
    <n v="800063"/>
    <s v="06-11-2024"/>
    <x v="2"/>
    <s v="Punjab"/>
    <s v="Jalandhar"/>
    <s v="Exchange Program"/>
    <s v="National Tata Dealership"/>
    <s v="Tata Motors"/>
    <s v="PV - ICE"/>
    <x v="6"/>
    <s v="Creative+"/>
    <s v="Sneha Kapoor"/>
    <n v="2"/>
    <x v="4"/>
    <n v="710797.65"/>
    <n v="5"/>
    <n v="0"/>
    <x v="377"/>
    <n v="71079.759999999995"/>
    <x v="377"/>
    <s v="Not achive"/>
  </r>
  <r>
    <n v="800221"/>
    <s v="06-11-2024"/>
    <x v="0"/>
    <s v="West Bengal"/>
    <s v="Kolkata"/>
    <s v="Online Booking"/>
    <s v="Reliance Trishakti"/>
    <s v="Tata Motors"/>
    <s v="PV - ICE"/>
    <x v="4"/>
    <s v="XE"/>
    <s v="Sneha Kapoor"/>
    <n v="2"/>
    <x v="2"/>
    <n v="777167.69"/>
    <n v="2"/>
    <n v="0"/>
    <x v="378"/>
    <n v="31086.71"/>
    <x v="378"/>
    <s v="Not achive"/>
  </r>
  <r>
    <n v="800242"/>
    <s v="06-11-2024"/>
    <x v="3"/>
    <s v="Gujarat"/>
    <s v="Ahmedabad"/>
    <s v="Online Booking"/>
    <s v="Prerna Automobiles"/>
    <s v="Tata Motors"/>
    <s v="PV - ICE"/>
    <x v="0"/>
    <s v="XE"/>
    <s v="Suresh Kumar"/>
    <n v="1"/>
    <x v="0"/>
    <n v="749609.02"/>
    <n v="10"/>
    <n v="0"/>
    <x v="379"/>
    <n v="74960.899999999994"/>
    <x v="379"/>
    <s v="Not achive"/>
  </r>
  <r>
    <n v="800250"/>
    <s v="06-11-2024"/>
    <x v="0"/>
    <s v="West Bengal"/>
    <s v="Howrah"/>
    <s v="Company Showroom"/>
    <s v="Big Wheels Auto"/>
    <s v="Tata Motors"/>
    <s v="PV - ICE"/>
    <x v="4"/>
    <s v="XZ+"/>
    <s v="Rohit Verma"/>
    <n v="3"/>
    <x v="2"/>
    <n v="811456.59"/>
    <n v="0"/>
    <n v="0"/>
    <x v="380"/>
    <n v="0"/>
    <x v="380"/>
    <s v="Achive"/>
  </r>
  <r>
    <n v="800573"/>
    <s v="06-11-2024"/>
    <x v="0"/>
    <s v="West Bengal"/>
    <s v="Howrah"/>
    <s v="Exchange Program"/>
    <s v="Sai Service Tata"/>
    <s v="Tata Motors"/>
    <s v="PV - EV"/>
    <x v="5"/>
    <s v="Empowered"/>
    <s v="Priya Nair"/>
    <n v="1"/>
    <x v="3"/>
    <n v="1197234.95"/>
    <n v="5"/>
    <n v="0"/>
    <x v="381"/>
    <n v="59861.75"/>
    <x v="381"/>
    <s v="Not achive"/>
  </r>
  <r>
    <n v="800037"/>
    <s v="07-11-2024"/>
    <x v="0"/>
    <s v="Odisha"/>
    <s v="Bhubaneswar"/>
    <s v="Company Showroom"/>
    <s v="National Tata Dealership"/>
    <s v="Tata Motors"/>
    <s v="PV - EV"/>
    <x v="12"/>
    <s v="XZ+"/>
    <s v="Sneha Kapoor"/>
    <n v="3"/>
    <x v="10"/>
    <n v="1264607.82"/>
    <n v="5"/>
    <n v="0"/>
    <x v="382"/>
    <n v="189691.17"/>
    <x v="382"/>
    <s v="Achive"/>
  </r>
  <r>
    <n v="800211"/>
    <s v="07-11-2024"/>
    <x v="3"/>
    <s v="Gujarat"/>
    <s v="Vadodara"/>
    <s v="Company Showroom"/>
    <s v="Sunrise Tata Showroom"/>
    <s v="Tata Motors"/>
    <s v="PV - ICE"/>
    <x v="14"/>
    <s v="XT"/>
    <s v="Neha Singh"/>
    <n v="3"/>
    <x v="12"/>
    <n v="642846.42000000004"/>
    <n v="7.5"/>
    <n v="0"/>
    <x v="383"/>
    <n v="144640.44"/>
    <x v="383"/>
    <s v="Not achive"/>
  </r>
  <r>
    <n v="800139"/>
    <s v="09-11-2024"/>
    <x v="1"/>
    <s v="Telangana"/>
    <s v="Warangal"/>
    <s v="Company Showroom"/>
    <s v="Sai Service Tata"/>
    <s v="Tata Motors"/>
    <s v="PV - ICE"/>
    <x v="3"/>
    <s v="Creative"/>
    <s v="Priya Nair"/>
    <n v="1"/>
    <x v="3"/>
    <n v="1207608.8600000001"/>
    <n v="7.5"/>
    <n v="0"/>
    <x v="384"/>
    <n v="90570.66"/>
    <x v="384"/>
    <s v="Not achive"/>
  </r>
  <r>
    <n v="800201"/>
    <s v="09-11-2024"/>
    <x v="2"/>
    <s v="Delhi"/>
    <s v="Dwarka"/>
    <s v="Online Booking"/>
    <s v="Metro Tata Motors"/>
    <s v="Tata Motors"/>
    <s v="PV - EV"/>
    <x v="11"/>
    <s v="Accomplished"/>
    <s v="Anjali Rao"/>
    <n v="3"/>
    <x v="9"/>
    <n v="1746850.52"/>
    <n v="0"/>
    <n v="0"/>
    <x v="385"/>
    <n v="0"/>
    <x v="385"/>
    <s v="Achive"/>
  </r>
  <r>
    <n v="800484"/>
    <s v="09-11-2024"/>
    <x v="0"/>
    <s v="Bihar"/>
    <s v="Patna"/>
    <s v="Exchange Program"/>
    <s v="Statesman Cars"/>
    <s v="Tata Motors"/>
    <s v="PV - ICE"/>
    <x v="3"/>
    <s v="Creative"/>
    <s v="Amit Sharma"/>
    <n v="2"/>
    <x v="3"/>
    <n v="1176494.29"/>
    <n v="10"/>
    <n v="0"/>
    <x v="386"/>
    <n v="235298.86"/>
    <x v="386"/>
    <s v="Achive"/>
  </r>
  <r>
    <n v="800632"/>
    <s v="10-11-2024"/>
    <x v="3"/>
    <s v="Maharashtra"/>
    <s v="Nagpur"/>
    <s v="Company Showroom"/>
    <s v="Concorde Tata"/>
    <s v="Tata Motors"/>
    <s v="CV - Pickup"/>
    <x v="2"/>
    <s v="Base"/>
    <s v="Vikas Yadav"/>
    <n v="1"/>
    <x v="2"/>
    <n v="784369.18"/>
    <n v="0"/>
    <n v="0"/>
    <x v="387"/>
    <n v="0"/>
    <x v="387"/>
    <s v="Not achive"/>
  </r>
  <r>
    <n v="800636"/>
    <s v="10-11-2024"/>
    <x v="2"/>
    <s v="Punjab"/>
    <s v="Jalandhar"/>
    <s v="Corporate/Fleet Sale"/>
    <s v="Om Sai Auto Hub"/>
    <s v="Tata Motors"/>
    <s v="PV - ICE"/>
    <x v="0"/>
    <s v="XZ"/>
    <s v="Sneha Kapoor"/>
    <n v="2"/>
    <x v="0"/>
    <n v="731885.28"/>
    <n v="7.5"/>
    <n v="0"/>
    <x v="388"/>
    <n v="109782.79"/>
    <x v="388"/>
    <s v="Not achive"/>
  </r>
  <r>
    <n v="800119"/>
    <s v="11-11-2024"/>
    <x v="3"/>
    <s v="Maharashtra"/>
    <s v="Pune"/>
    <s v="Authorized Dealer"/>
    <s v="Big Wheels Auto"/>
    <s v="Tata Motors"/>
    <s v="PV - ICE"/>
    <x v="13"/>
    <s v="Smart"/>
    <s v="Divya Pillai"/>
    <n v="3"/>
    <x v="11"/>
    <n v="1859393.1"/>
    <n v="2"/>
    <n v="0"/>
    <x v="389"/>
    <n v="111563.59"/>
    <x v="389"/>
    <s v="Achive"/>
  </r>
  <r>
    <n v="800409"/>
    <s v="11-11-2024"/>
    <x v="0"/>
    <s v="Bihar"/>
    <s v="Gaya"/>
    <s v="Authorized Dealer"/>
    <s v="Statesman Cars"/>
    <s v="Tata Motors"/>
    <s v="PV - ICE"/>
    <x v="14"/>
    <s v="XZ+"/>
    <s v="Anjali Rao"/>
    <n v="1"/>
    <x v="12"/>
    <n v="662100.81000000006"/>
    <n v="5"/>
    <n v="0"/>
    <x v="390"/>
    <n v="33105.040000000001"/>
    <x v="390"/>
    <s v="Not achive"/>
  </r>
  <r>
    <n v="800087"/>
    <s v="12-11-2024"/>
    <x v="1"/>
    <s v="Karnataka"/>
    <s v="Bengaluru"/>
    <s v="Company Showroom"/>
    <s v="National Tata Dealership"/>
    <s v="Tata Motors"/>
    <s v="PV - EV"/>
    <x v="5"/>
    <s v="Empowered"/>
    <s v="Suresh Kumar"/>
    <n v="3"/>
    <x v="3"/>
    <n v="1169829.8400000001"/>
    <n v="0"/>
    <n v="0"/>
    <x v="391"/>
    <n v="0"/>
    <x v="391"/>
    <s v="Achive"/>
  </r>
  <r>
    <n v="800453"/>
    <s v="12-11-2024"/>
    <x v="0"/>
    <s v="Bihar"/>
    <s v="Patna"/>
    <s v="Exchange Program"/>
    <s v="Om Sai Auto Hub"/>
    <s v="Tata Motors"/>
    <s v="PV - EV"/>
    <x v="8"/>
    <s v="Empowered"/>
    <s v="Anjali Rao"/>
    <n v="3"/>
    <x v="6"/>
    <n v="1484054.84"/>
    <n v="0"/>
    <n v="0"/>
    <x v="392"/>
    <n v="0"/>
    <x v="392"/>
    <s v="Achive"/>
  </r>
  <r>
    <n v="800041"/>
    <s v="13-11-2024"/>
    <x v="3"/>
    <s v="Rajasthan"/>
    <s v="Jodhpur"/>
    <s v="Authorized Dealer"/>
    <s v="Om Sai Auto Hub"/>
    <s v="Tata Motors"/>
    <s v="PV - ICE"/>
    <x v="6"/>
    <s v="Pure"/>
    <s v="Priya Nair"/>
    <n v="1"/>
    <x v="4"/>
    <n v="707049.58"/>
    <n v="7.5"/>
    <n v="0"/>
    <x v="393"/>
    <n v="53028.72"/>
    <x v="393"/>
    <s v="Not achive"/>
  </r>
  <r>
    <n v="800108"/>
    <s v="13-11-2024"/>
    <x v="2"/>
    <s v="Delhi"/>
    <s v="New Delhi"/>
    <s v="Company Showroom"/>
    <s v="National Tata Dealership"/>
    <s v="Tata Motors"/>
    <s v="PV - ICE"/>
    <x v="14"/>
    <s v="XZ+"/>
    <s v="Amit Sharma"/>
    <n v="2"/>
    <x v="12"/>
    <n v="644901.17000000004"/>
    <n v="10"/>
    <n v="0"/>
    <x v="394"/>
    <n v="128980.23"/>
    <x v="394"/>
    <s v="Not achive"/>
  </r>
  <r>
    <n v="800116"/>
    <s v="13-11-2024"/>
    <x v="0"/>
    <s v="West Bengal"/>
    <s v="Howrah"/>
    <s v="Exchange Program"/>
    <s v="Reliance Trishakti"/>
    <s v="Tata Motors"/>
    <s v="PV - ICE"/>
    <x v="7"/>
    <s v="Fearless+"/>
    <s v="Neha Singh"/>
    <n v="3"/>
    <x v="5"/>
    <n v="1675871.81"/>
    <n v="12.5"/>
    <n v="0"/>
    <x v="395"/>
    <n v="628451.93000000005"/>
    <x v="395"/>
    <s v="Achive"/>
  </r>
  <r>
    <n v="800437"/>
    <s v="13-11-2024"/>
    <x v="0"/>
    <s v="West Bengal"/>
    <s v="Howrah"/>
    <s v="Company Showroom"/>
    <s v="Big Wheels Auto"/>
    <s v="Tata Motors"/>
    <s v="PV - ICE"/>
    <x v="10"/>
    <s v="Fearless+"/>
    <s v="Anjali Rao"/>
    <n v="2"/>
    <x v="8"/>
    <n v="929539.63"/>
    <n v="7.5"/>
    <n v="0"/>
    <x v="396"/>
    <n v="139430.94"/>
    <x v="396"/>
    <s v="Not achive"/>
  </r>
  <r>
    <n v="800143"/>
    <s v="14-11-2024"/>
    <x v="2"/>
    <s v="Haryana"/>
    <s v="Hisar"/>
    <s v="Online Booking"/>
    <s v="Prerna Automobiles"/>
    <s v="Tata Motors"/>
    <s v="PV - EV"/>
    <x v="12"/>
    <s v="XZ+"/>
    <s v="Priya Nair"/>
    <n v="1"/>
    <x v="10"/>
    <n v="1220164.8400000001"/>
    <n v="0"/>
    <n v="0"/>
    <x v="397"/>
    <n v="0"/>
    <x v="397"/>
    <s v="Not achive"/>
  </r>
  <r>
    <n v="800327"/>
    <s v="14-11-2024"/>
    <x v="1"/>
    <s v="Karnataka"/>
    <s v="Mysuru"/>
    <s v="Corporate/Fleet Sale"/>
    <s v="Landmark Motors"/>
    <s v="Tata Motors"/>
    <s v="PV - EV"/>
    <x v="11"/>
    <s v="Creative"/>
    <s v="Divya Pillai"/>
    <n v="3"/>
    <x v="9"/>
    <n v="1780077.38"/>
    <n v="2"/>
    <n v="0"/>
    <x v="398"/>
    <n v="106804.64"/>
    <x v="398"/>
    <s v="Achive"/>
  </r>
  <r>
    <n v="800485"/>
    <s v="14-11-2024"/>
    <x v="1"/>
    <s v="Karnataka"/>
    <s v="Hubli"/>
    <s v="Authorized Dealer"/>
    <s v="Sai Service Tata"/>
    <s v="Tata Motors"/>
    <s v="CV - Pickup"/>
    <x v="9"/>
    <s v="CX"/>
    <s v="Amit Sharma"/>
    <n v="5"/>
    <x v="7"/>
    <n v="999803.77"/>
    <n v="7.5"/>
    <n v="0"/>
    <x v="399"/>
    <n v="374926.41"/>
    <x v="399"/>
    <s v="Achive"/>
  </r>
  <r>
    <n v="800633"/>
    <s v="14-11-2024"/>
    <x v="3"/>
    <s v="Maharashtra"/>
    <s v="Pune"/>
    <s v="Online Booking"/>
    <s v="Statesman Cars"/>
    <s v="Tata Motors"/>
    <s v="PV - ICE"/>
    <x v="3"/>
    <s v="Creative"/>
    <s v="Anjali Rao"/>
    <n v="1"/>
    <x v="3"/>
    <n v="1173966.33"/>
    <n v="0"/>
    <n v="0"/>
    <x v="400"/>
    <n v="0"/>
    <x v="400"/>
    <s v="Not achive"/>
  </r>
  <r>
    <n v="800076"/>
    <s v="15-11-2024"/>
    <x v="0"/>
    <s v="West Bengal"/>
    <s v="Howrah"/>
    <s v="Authorized Dealer"/>
    <s v="Sunrise Tata Showroom"/>
    <s v="Tata Motors"/>
    <s v="PV - ICE"/>
    <x v="13"/>
    <s v="Pure"/>
    <s v="Karan Mehta"/>
    <n v="3"/>
    <x v="11"/>
    <n v="1937895.72"/>
    <n v="12.5"/>
    <n v="0"/>
    <x v="401"/>
    <n v="726710.9"/>
    <x v="401"/>
    <s v="Achive"/>
  </r>
  <r>
    <n v="800266"/>
    <s v="15-11-2024"/>
    <x v="0"/>
    <s v="Odisha"/>
    <s v="Bhubaneswar"/>
    <s v="Online Booking"/>
    <s v="Landmark Motors"/>
    <s v="Tata Motors"/>
    <s v="PV - EV"/>
    <x v="8"/>
    <s v="Empowered"/>
    <s v="Sneha Kapoor"/>
    <n v="1"/>
    <x v="6"/>
    <n v="1481545.74"/>
    <n v="0"/>
    <n v="0"/>
    <x v="402"/>
    <n v="0"/>
    <x v="402"/>
    <s v="Not achive"/>
  </r>
  <r>
    <n v="800297"/>
    <s v="15-11-2024"/>
    <x v="3"/>
    <s v="Gujarat"/>
    <s v="Surat"/>
    <s v="Online Booking"/>
    <s v="Om Sai Auto Hub"/>
    <s v="Tata Motors"/>
    <s v="PV - EV"/>
    <x v="8"/>
    <s v="Empowered"/>
    <s v="Amit Sharma"/>
    <n v="3"/>
    <x v="6"/>
    <n v="1457292.24"/>
    <n v="7.5"/>
    <n v="0"/>
    <x v="403"/>
    <n v="327890.75"/>
    <x v="403"/>
    <s v="Achive"/>
  </r>
  <r>
    <n v="800288"/>
    <s v="16-11-2024"/>
    <x v="0"/>
    <s v="West Bengal"/>
    <s v="Kolkata"/>
    <s v="Online Booking"/>
    <s v="Sai Service Tata"/>
    <s v="Tata Motors"/>
    <s v="PV - ICE"/>
    <x v="14"/>
    <s v="XZ+"/>
    <s v="Karan Mehta"/>
    <n v="3"/>
    <x v="12"/>
    <n v="656514.64"/>
    <n v="0"/>
    <n v="0"/>
    <x v="404"/>
    <n v="0"/>
    <x v="404"/>
    <s v="Not achive"/>
  </r>
  <r>
    <n v="800456"/>
    <s v="17-11-2024"/>
    <x v="3"/>
    <s v="Gujarat"/>
    <s v="Vadodara"/>
    <s v="Corporate/Fleet Sale"/>
    <s v="Big Wheels Auto"/>
    <s v="Tata Motors"/>
    <s v="PV - ICE"/>
    <x v="13"/>
    <s v="Accomplished+"/>
    <s v="Suresh Kumar"/>
    <n v="3"/>
    <x v="11"/>
    <n v="1912659.92"/>
    <n v="0"/>
    <n v="0"/>
    <x v="405"/>
    <n v="0"/>
    <x v="405"/>
    <s v="Achive"/>
  </r>
  <r>
    <n v="800492"/>
    <s v="17-11-2024"/>
    <x v="2"/>
    <s v="Uttar Pradesh"/>
    <s v="Noida"/>
    <s v="Online Booking"/>
    <s v="Sai Service Tata"/>
    <s v="Tata Motors"/>
    <s v="PV - EV"/>
    <x v="12"/>
    <s v="XZ+"/>
    <s v="Karan Mehta"/>
    <n v="1"/>
    <x v="10"/>
    <n v="1240899.6499999999"/>
    <n v="10"/>
    <n v="0"/>
    <x v="406"/>
    <n v="124089.96"/>
    <x v="406"/>
    <s v="Not achive"/>
  </r>
  <r>
    <n v="800452"/>
    <s v="18-11-2024"/>
    <x v="0"/>
    <s v="West Bengal"/>
    <s v="Kolkata"/>
    <s v="Exchange Program"/>
    <s v="Sai Service Tata"/>
    <s v="Tata Motors"/>
    <s v="CV - Pickup"/>
    <x v="2"/>
    <s v="AC Cabin"/>
    <s v="Neha Singh"/>
    <n v="4"/>
    <x v="2"/>
    <n v="800460.19"/>
    <n v="0"/>
    <n v="0"/>
    <x v="407"/>
    <n v="0"/>
    <x v="407"/>
    <s v="Achive"/>
  </r>
  <r>
    <n v="800223"/>
    <s v="21-11-2024"/>
    <x v="0"/>
    <s v="Bihar"/>
    <s v="Gaya"/>
    <s v="Online Booking"/>
    <s v="Om Sai Auto Hub"/>
    <s v="Tata Motors"/>
    <s v="PV - ICE"/>
    <x v="7"/>
    <s v="Pure"/>
    <s v="Karan Mehta"/>
    <n v="2"/>
    <x v="5"/>
    <n v="1700961.22"/>
    <n v="0"/>
    <n v="0"/>
    <x v="408"/>
    <n v="0"/>
    <x v="408"/>
    <s v="Achive"/>
  </r>
  <r>
    <n v="800384"/>
    <s v="21-11-2024"/>
    <x v="1"/>
    <s v="Kerala"/>
    <s v="Kochi"/>
    <s v="Exchange Program"/>
    <s v="Sunrise Tata Showroom"/>
    <s v="Tata Motors"/>
    <s v="CV - Pickup"/>
    <x v="9"/>
    <s v="CX"/>
    <s v="Priya Nair"/>
    <n v="4"/>
    <x v="7"/>
    <n v="998158.43"/>
    <n v="2"/>
    <n v="0"/>
    <x v="409"/>
    <n v="79852.67"/>
    <x v="409"/>
    <s v="Achive"/>
  </r>
  <r>
    <n v="800531"/>
    <s v="21-11-2024"/>
    <x v="1"/>
    <s v="Kerala"/>
    <s v="Kochi"/>
    <s v="Corporate/Fleet Sale"/>
    <s v="Statesman Cars"/>
    <s v="Tata Motors"/>
    <s v="PV - ICE"/>
    <x v="14"/>
    <s v="XZ+"/>
    <s v="Karan Mehta"/>
    <n v="1"/>
    <x v="12"/>
    <n v="639619.64"/>
    <n v="0"/>
    <n v="0"/>
    <x v="410"/>
    <n v="0"/>
    <x v="410"/>
    <s v="Not achive"/>
  </r>
  <r>
    <n v="800429"/>
    <s v="22-11-2024"/>
    <x v="2"/>
    <s v="Haryana"/>
    <s v="Faridabad"/>
    <s v="Company Showroom"/>
    <s v="Big Wheels Auto"/>
    <s v="Tata Motors"/>
    <s v="PV - ICE"/>
    <x v="14"/>
    <s v="XZ+"/>
    <s v="Rohit Verma"/>
    <n v="3"/>
    <x v="12"/>
    <n v="647116.31999999995"/>
    <n v="0"/>
    <n v="0"/>
    <x v="411"/>
    <n v="0"/>
    <x v="411"/>
    <s v="Not achive"/>
  </r>
  <r>
    <n v="800410"/>
    <s v="24-11-2024"/>
    <x v="2"/>
    <s v="Uttar Pradesh"/>
    <s v="Lucknow"/>
    <s v="Company Showroom"/>
    <s v="Landmark Motors"/>
    <s v="Tata Motors"/>
    <s v="PV - ICE"/>
    <x v="3"/>
    <s v="Smart"/>
    <s v="Neha Singh"/>
    <n v="2"/>
    <x v="3"/>
    <n v="1182694.6000000001"/>
    <n v="12.5"/>
    <n v="0"/>
    <x v="412"/>
    <n v="295673.65000000002"/>
    <x v="412"/>
    <s v="Achive"/>
  </r>
  <r>
    <n v="800501"/>
    <s v="24-11-2024"/>
    <x v="0"/>
    <s v="Bihar"/>
    <s v="Gaya"/>
    <s v="Company Showroom"/>
    <s v="Prerna Automobiles"/>
    <s v="Tata Motors"/>
    <s v="PV - EV"/>
    <x v="12"/>
    <s v="XZ+"/>
    <s v="Anjali Rao"/>
    <n v="3"/>
    <x v="10"/>
    <n v="1229024.72"/>
    <n v="0"/>
    <n v="0"/>
    <x v="413"/>
    <n v="0"/>
    <x v="413"/>
    <s v="Achive"/>
  </r>
  <r>
    <n v="800536"/>
    <s v="24-11-2024"/>
    <x v="1"/>
    <s v="Kerala"/>
    <s v="Kochi"/>
    <s v="Authorized Dealer"/>
    <s v="Landmark Motors"/>
    <s v="Tata Motors"/>
    <s v="PV - ICE"/>
    <x v="3"/>
    <s v="Accomplished"/>
    <s v="Rohit Verma"/>
    <n v="1"/>
    <x v="3"/>
    <n v="1206198.27"/>
    <n v="0"/>
    <n v="0"/>
    <x v="414"/>
    <n v="0"/>
    <x v="414"/>
    <s v="Not achive"/>
  </r>
  <r>
    <n v="800046"/>
    <s v="26-11-2024"/>
    <x v="0"/>
    <s v="Odisha"/>
    <s v="Cuttack"/>
    <s v="Online Booking"/>
    <s v="Prerna Automobiles"/>
    <s v="Tata Motors"/>
    <s v="PV - EV"/>
    <x v="5"/>
    <s v="Adventure"/>
    <s v="Priya Nair"/>
    <n v="1"/>
    <x v="3"/>
    <n v="1187331.43"/>
    <n v="10"/>
    <n v="0"/>
    <x v="415"/>
    <n v="118733.14"/>
    <x v="415"/>
    <s v="Not achive"/>
  </r>
  <r>
    <n v="800172"/>
    <s v="26-11-2024"/>
    <x v="1"/>
    <s v="Tamil Nadu"/>
    <s v="Coimbatore"/>
    <s v="Corporate/Fleet Sale"/>
    <s v="Capital Cars"/>
    <s v="Tata Motors"/>
    <s v="PV - ICE"/>
    <x v="7"/>
    <s v="Fearless+"/>
    <s v="Divya Pillai"/>
    <n v="2"/>
    <x v="5"/>
    <n v="1724587.1"/>
    <n v="0"/>
    <n v="0"/>
    <x v="416"/>
    <n v="0"/>
    <x v="416"/>
    <s v="Achive"/>
  </r>
  <r>
    <n v="800507"/>
    <s v="26-11-2024"/>
    <x v="2"/>
    <s v="Delhi"/>
    <s v="New Delhi"/>
    <s v="Exchange Program"/>
    <s v="Statesman Cars"/>
    <s v="Tata Motors"/>
    <s v="PV - EV"/>
    <x v="8"/>
    <s v="Empowered"/>
    <s v="Karan Mehta"/>
    <n v="1"/>
    <x v="6"/>
    <n v="1522200.12"/>
    <n v="0"/>
    <n v="0"/>
    <x v="417"/>
    <n v="0"/>
    <x v="417"/>
    <s v="Not achive"/>
  </r>
  <r>
    <n v="800613"/>
    <s v="26-11-2024"/>
    <x v="0"/>
    <s v="West Bengal"/>
    <s v="Howrah"/>
    <s v="Corporate/Fleet Sale"/>
    <s v="Statesman Cars"/>
    <s v="Tata Motors"/>
    <s v="CV - Pickup"/>
    <x v="9"/>
    <s v="Base"/>
    <s v="Karan Mehta"/>
    <n v="2"/>
    <x v="7"/>
    <n v="983014.58"/>
    <n v="12.5"/>
    <n v="0"/>
    <x v="418"/>
    <n v="245753.64"/>
    <x v="418"/>
    <s v="Not achive"/>
  </r>
  <r>
    <n v="800616"/>
    <s v="26-11-2024"/>
    <x v="3"/>
    <s v="Rajasthan"/>
    <s v="Jodhpur"/>
    <s v="Authorized Dealer"/>
    <s v="Prerna Automobiles"/>
    <s v="Tata Motors"/>
    <s v="PV - ICE"/>
    <x v="4"/>
    <s v="XE"/>
    <s v="Vikas Yadav"/>
    <n v="1"/>
    <x v="2"/>
    <n v="777434.49"/>
    <n v="5"/>
    <n v="0"/>
    <x v="419"/>
    <n v="38871.72"/>
    <x v="419"/>
    <s v="Not achive"/>
  </r>
  <r>
    <n v="800125"/>
    <s v="27-11-2024"/>
    <x v="0"/>
    <s v="West Bengal"/>
    <s v="Kolkata"/>
    <s v="Online Booking"/>
    <s v="National Tata Dealership"/>
    <s v="Tata Motors"/>
    <s v="PV - EV"/>
    <x v="5"/>
    <s v="Empowered"/>
    <s v="Priya Nair"/>
    <n v="1"/>
    <x v="3"/>
    <n v="1196040.67"/>
    <n v="5"/>
    <n v="0"/>
    <x v="420"/>
    <n v="59802.03"/>
    <x v="420"/>
    <s v="Not achive"/>
  </r>
  <r>
    <n v="800193"/>
    <s v="27-11-2024"/>
    <x v="1"/>
    <s v="Kerala"/>
    <s v="Thiruvananthapuram"/>
    <s v="Online Booking"/>
    <s v="Om Sai Auto Hub"/>
    <s v="Tata Motors"/>
    <s v="PV - ICE"/>
    <x v="7"/>
    <s v="Pure"/>
    <s v="Rohit Verma"/>
    <n v="2"/>
    <x v="5"/>
    <n v="1679569.79"/>
    <n v="12.5"/>
    <n v="0"/>
    <x v="421"/>
    <n v="419892.45"/>
    <x v="421"/>
    <s v="Achive"/>
  </r>
  <r>
    <n v="800405"/>
    <s v="27-11-2024"/>
    <x v="0"/>
    <s v="West Bengal"/>
    <s v="Howrah"/>
    <s v="Online Booking"/>
    <s v="Sunrise Tata Showroom"/>
    <s v="Tata Motors"/>
    <s v="PV - ICE"/>
    <x v="4"/>
    <s v="XM"/>
    <s v="Anjali Rao"/>
    <n v="1"/>
    <x v="2"/>
    <n v="796932.65"/>
    <n v="0"/>
    <n v="0"/>
    <x v="422"/>
    <n v="0"/>
    <x v="422"/>
    <s v="Not achive"/>
  </r>
  <r>
    <n v="800269"/>
    <s v="28-11-2024"/>
    <x v="1"/>
    <s v="Kerala"/>
    <s v="Thiruvananthapuram"/>
    <s v="Corporate/Fleet Sale"/>
    <s v="Statesman Cars"/>
    <s v="Tata Motors"/>
    <s v="PV - ICE"/>
    <x v="14"/>
    <s v="XT"/>
    <s v="Karan Mehta"/>
    <n v="1"/>
    <x v="12"/>
    <n v="631452.36"/>
    <n v="5"/>
    <n v="0"/>
    <x v="423"/>
    <n v="31572.62"/>
    <x v="423"/>
    <s v="Not achive"/>
  </r>
  <r>
    <n v="800049"/>
    <s v="29-11-2024"/>
    <x v="2"/>
    <s v="Haryana"/>
    <s v="Faridabad"/>
    <s v="Authorized Dealer"/>
    <s v="Reliance Trishakti"/>
    <s v="Tata Motors"/>
    <s v="PV - ICE"/>
    <x v="14"/>
    <s v="XE"/>
    <s v="Vikas Yadav"/>
    <n v="1"/>
    <x v="12"/>
    <n v="657774.93999999994"/>
    <n v="0"/>
    <n v="0"/>
    <x v="424"/>
    <n v="0"/>
    <x v="424"/>
    <s v="Not achive"/>
  </r>
  <r>
    <n v="800169"/>
    <s v="30-11-2024"/>
    <x v="2"/>
    <s v="Punjab"/>
    <s v="Ludhiana"/>
    <s v="Online Booking"/>
    <s v="Concorde Tata"/>
    <s v="Tata Motors"/>
    <s v="PV - ICE"/>
    <x v="7"/>
    <s v="Smart"/>
    <s v="Anjali Rao"/>
    <n v="3"/>
    <x v="5"/>
    <n v="1732122.41"/>
    <n v="0"/>
    <n v="0"/>
    <x v="425"/>
    <n v="0"/>
    <x v="425"/>
    <s v="Achive"/>
  </r>
  <r>
    <n v="800598"/>
    <s v="30-11-2024"/>
    <x v="0"/>
    <s v="West Bengal"/>
    <s v="Howrah"/>
    <s v="Exchange Program"/>
    <s v="Landmark Motors"/>
    <s v="Tata Motors"/>
    <s v="PV - ICE"/>
    <x v="3"/>
    <s v="Accomplished"/>
    <s v="Neha Singh"/>
    <n v="3"/>
    <x v="3"/>
    <n v="1220922.6499999999"/>
    <n v="7.5"/>
    <n v="0"/>
    <x v="426"/>
    <n v="274707.59999999998"/>
    <x v="426"/>
    <s v="Achive"/>
  </r>
  <r>
    <n v="800174"/>
    <s v="01-12-2024"/>
    <x v="3"/>
    <s v="Maharashtra"/>
    <s v="Nashik"/>
    <s v="Online Booking"/>
    <s v="Metro Tata Motors"/>
    <s v="Tata Motors"/>
    <s v="PV - EV"/>
    <x v="11"/>
    <s v="Accomplished"/>
    <s v="Amit Sharma"/>
    <n v="2"/>
    <x v="9"/>
    <n v="1806233.03"/>
    <n v="0"/>
    <n v="0"/>
    <x v="427"/>
    <n v="0"/>
    <x v="427"/>
    <s v="Achive"/>
  </r>
  <r>
    <n v="800099"/>
    <s v="02-12-2024"/>
    <x v="2"/>
    <s v="Punjab"/>
    <s v="Jalandhar"/>
    <s v="Company Showroom"/>
    <s v="National Tata Dealership"/>
    <s v="Tata Motors"/>
    <s v="PV - ICE"/>
    <x v="14"/>
    <s v="XZ+"/>
    <s v="Divya Pillai"/>
    <n v="2"/>
    <x v="12"/>
    <n v="645386.38"/>
    <n v="0"/>
    <n v="0"/>
    <x v="428"/>
    <n v="0"/>
    <x v="428"/>
    <s v="Not achive"/>
  </r>
  <r>
    <n v="800362"/>
    <s v="04-12-2024"/>
    <x v="3"/>
    <s v="Rajasthan"/>
    <s v="Jaipur"/>
    <s v="Online Booking"/>
    <s v="Statesman Cars"/>
    <s v="Tata Motors"/>
    <s v="PV - ICE"/>
    <x v="4"/>
    <s v="XZ+"/>
    <s v="Karan Mehta"/>
    <n v="3"/>
    <x v="2"/>
    <n v="810887.81"/>
    <n v="0"/>
    <n v="0"/>
    <x v="429"/>
    <n v="0"/>
    <x v="429"/>
    <s v="Achive"/>
  </r>
  <r>
    <n v="800268"/>
    <s v="05-12-2024"/>
    <x v="0"/>
    <s v="Bihar"/>
    <s v="Gaya"/>
    <s v="Company Showroom"/>
    <s v="Reliance Trishakti"/>
    <s v="Tata Motors"/>
    <s v="CV - Pickup"/>
    <x v="9"/>
    <s v="Base"/>
    <s v="Divya Pillai"/>
    <n v="1"/>
    <x v="7"/>
    <n v="1019470.18"/>
    <n v="7.5"/>
    <n v="0"/>
    <x v="430"/>
    <n v="76460.259999999995"/>
    <x v="430"/>
    <s v="Not achive"/>
  </r>
  <r>
    <n v="800442"/>
    <s v="05-12-2024"/>
    <x v="1"/>
    <s v="Kerala"/>
    <s v="Kochi"/>
    <s v="Authorized Dealer"/>
    <s v="Sunrise Tata Showroom"/>
    <s v="Tata Motors"/>
    <s v="CV - Pickup"/>
    <x v="2"/>
    <s v="AC Cabin"/>
    <s v="Vikas Yadav"/>
    <n v="4"/>
    <x v="2"/>
    <n v="796341.61"/>
    <n v="0"/>
    <n v="0"/>
    <x v="431"/>
    <n v="0"/>
    <x v="431"/>
    <s v="Achive"/>
  </r>
  <r>
    <n v="800308"/>
    <s v="06-12-2024"/>
    <x v="2"/>
    <s v="Uttar Pradesh"/>
    <s v="Kanpur"/>
    <s v="Company Showroom"/>
    <s v="Big Wheels Auto"/>
    <s v="Tata Motors"/>
    <s v="PV - EV"/>
    <x v="8"/>
    <s v="Empowered"/>
    <s v="Priya Nair"/>
    <n v="1"/>
    <x v="6"/>
    <n v="1478728.76"/>
    <n v="0"/>
    <n v="0"/>
    <x v="432"/>
    <n v="0"/>
    <x v="432"/>
    <s v="Not achive"/>
  </r>
  <r>
    <n v="800052"/>
    <s v="07-12-2024"/>
    <x v="2"/>
    <s v="Delhi"/>
    <s v="Dwarka"/>
    <s v="Exchange Program"/>
    <s v="Metro Tata Motors"/>
    <s v="Tata Motors"/>
    <s v="PV - ICE"/>
    <x v="7"/>
    <s v="Pure"/>
    <s v="Amit Sharma"/>
    <n v="3"/>
    <x v="5"/>
    <n v="1704041.18"/>
    <n v="0"/>
    <n v="0"/>
    <x v="433"/>
    <n v="0"/>
    <x v="433"/>
    <s v="Achive"/>
  </r>
  <r>
    <n v="800179"/>
    <s v="07-12-2024"/>
    <x v="2"/>
    <s v="Delhi"/>
    <s v="New Delhi"/>
    <s v="Exchange Program"/>
    <s v="Om Sai Auto Hub"/>
    <s v="Tata Motors"/>
    <s v="PV - ICE"/>
    <x v="4"/>
    <s v="XE"/>
    <s v="Neha Singh"/>
    <n v="3"/>
    <x v="2"/>
    <n v="793673.62"/>
    <n v="2"/>
    <n v="0"/>
    <x v="434"/>
    <n v="47620.42"/>
    <x v="434"/>
    <s v="Achive"/>
  </r>
  <r>
    <n v="800195"/>
    <s v="07-12-2024"/>
    <x v="0"/>
    <s v="West Bengal"/>
    <s v="Kolkata"/>
    <s v="Company Showroom"/>
    <s v="Big Wheels Auto"/>
    <s v="Tata Motors"/>
    <s v="PV - ICE"/>
    <x v="6"/>
    <s v="Adventure"/>
    <s v="Karan Mehta"/>
    <n v="1"/>
    <x v="4"/>
    <n v="696475.55"/>
    <n v="7.5"/>
    <n v="0"/>
    <x v="435"/>
    <n v="52235.67"/>
    <x v="435"/>
    <s v="Not achive"/>
  </r>
  <r>
    <n v="800225"/>
    <s v="07-12-2024"/>
    <x v="3"/>
    <s v="Rajasthan"/>
    <s v="Jodhpur"/>
    <s v="Online Booking"/>
    <s v="National Tata Dealership"/>
    <s v="Tata Motors"/>
    <s v="PV - ICE"/>
    <x v="4"/>
    <s v="XZ+"/>
    <s v="Sneha Kapoor"/>
    <n v="2"/>
    <x v="2"/>
    <n v="783430.15"/>
    <n v="0"/>
    <n v="0"/>
    <x v="436"/>
    <n v="0"/>
    <x v="436"/>
    <s v="Not achive"/>
  </r>
  <r>
    <n v="800577"/>
    <s v="07-12-2024"/>
    <x v="0"/>
    <s v="West Bengal"/>
    <s v="Howrah"/>
    <s v="Exchange Program"/>
    <s v="Metro Tata Motors"/>
    <s v="Tata Motors"/>
    <s v="PV - ICE"/>
    <x v="3"/>
    <s v="Accomplished"/>
    <s v="Rohit Verma"/>
    <n v="1"/>
    <x v="3"/>
    <n v="1210079.97"/>
    <n v="0"/>
    <n v="0"/>
    <x v="437"/>
    <n v="0"/>
    <x v="437"/>
    <s v="Not achive"/>
  </r>
  <r>
    <n v="800056"/>
    <s v="08-12-2024"/>
    <x v="1"/>
    <s v="Tamil Nadu"/>
    <s v="Chennai"/>
    <s v="Authorized Dealer"/>
    <s v="Prerna Automobiles"/>
    <s v="Tata Motors"/>
    <s v="PV - ICE"/>
    <x v="13"/>
    <s v="Pure"/>
    <s v="Priya Nair"/>
    <n v="3"/>
    <x v="11"/>
    <n v="1915025.64"/>
    <n v="12.5"/>
    <n v="0"/>
    <x v="438"/>
    <n v="718134.61"/>
    <x v="438"/>
    <s v="Achive"/>
  </r>
  <r>
    <n v="800069"/>
    <s v="08-12-2024"/>
    <x v="1"/>
    <s v="Tamil Nadu"/>
    <s v="Chennai"/>
    <s v="Online Booking"/>
    <s v="Om Sai Auto Hub"/>
    <s v="Tata Motors"/>
    <s v="PV - ICE"/>
    <x v="7"/>
    <s v="Pure"/>
    <s v="Rohit Verma"/>
    <n v="1"/>
    <x v="5"/>
    <n v="1733740.37"/>
    <n v="10"/>
    <n v="0"/>
    <x v="439"/>
    <n v="173374.04"/>
    <x v="439"/>
    <s v="Not achive"/>
  </r>
  <r>
    <n v="800326"/>
    <s v="08-12-2024"/>
    <x v="0"/>
    <s v="Bihar"/>
    <s v="Patna"/>
    <s v="Authorized Dealer"/>
    <s v="Reliance Trishakti"/>
    <s v="Tata Motors"/>
    <s v="CV - Pickup"/>
    <x v="9"/>
    <s v="Base"/>
    <s v="Divya Pillai"/>
    <n v="4"/>
    <x v="7"/>
    <n v="1012593.56"/>
    <n v="0"/>
    <n v="0"/>
    <x v="440"/>
    <n v="0"/>
    <x v="440"/>
    <s v="Achive"/>
  </r>
  <r>
    <n v="800556"/>
    <s v="08-12-2024"/>
    <x v="1"/>
    <s v="Telangana"/>
    <s v="Hyderabad"/>
    <s v="Exchange Program"/>
    <s v="Capital Cars"/>
    <s v="Tata Motors"/>
    <s v="PV - ICE"/>
    <x v="13"/>
    <s v="Accomplished+"/>
    <s v="Suresh Kumar"/>
    <n v="1"/>
    <x v="11"/>
    <n v="1860670.61"/>
    <n v="10"/>
    <n v="0"/>
    <x v="441"/>
    <n v="186067.06"/>
    <x v="441"/>
    <s v="Not achive"/>
  </r>
  <r>
    <n v="800615"/>
    <s v="08-12-2024"/>
    <x v="1"/>
    <s v="Telangana"/>
    <s v="Warangal"/>
    <s v="Corporate/Fleet Sale"/>
    <s v="National Tata Dealership"/>
    <s v="Tata Motors"/>
    <s v="CV - Pickup"/>
    <x v="2"/>
    <s v="AC Cabin"/>
    <s v="Divya Pillai"/>
    <n v="3"/>
    <x v="2"/>
    <n v="793431.01"/>
    <n v="0"/>
    <n v="0"/>
    <x v="442"/>
    <n v="0"/>
    <x v="442"/>
    <s v="Achive"/>
  </r>
  <r>
    <n v="800210"/>
    <s v="10-12-2024"/>
    <x v="2"/>
    <s v="Uttar Pradesh"/>
    <s v="Noida"/>
    <s v="Corporate/Fleet Sale"/>
    <s v="Metro Tata Motors"/>
    <s v="Tata Motors"/>
    <s v="PV - EV"/>
    <x v="5"/>
    <s v="Adventure"/>
    <s v="Amit Sharma"/>
    <n v="2"/>
    <x v="3"/>
    <n v="1179101.98"/>
    <n v="2"/>
    <n v="0"/>
    <x v="443"/>
    <n v="47164.08"/>
    <x v="443"/>
    <s v="Achive"/>
  </r>
  <r>
    <n v="800579"/>
    <s v="11-12-2024"/>
    <x v="1"/>
    <s v="Karnataka"/>
    <s v="Mysuru"/>
    <s v="Exchange Program"/>
    <s v="National Tata Dealership"/>
    <s v="Tata Motors"/>
    <s v="PV - ICE"/>
    <x v="0"/>
    <s v="XE"/>
    <s v="Divya Pillai"/>
    <n v="2"/>
    <x v="0"/>
    <n v="757227.43"/>
    <n v="2"/>
    <n v="0"/>
    <x v="444"/>
    <n v="30289.1"/>
    <x v="444"/>
    <s v="Not achive"/>
  </r>
  <r>
    <n v="800415"/>
    <s v="12-12-2024"/>
    <x v="2"/>
    <s v="Punjab"/>
    <s v="Amritsar"/>
    <s v="Authorized Dealer"/>
    <s v="Landmark Motors"/>
    <s v="Tata Motors"/>
    <s v="PV - EV"/>
    <x v="12"/>
    <s v="XZ+"/>
    <s v="Karan Mehta"/>
    <n v="1"/>
    <x v="10"/>
    <n v="1235712.42"/>
    <n v="0"/>
    <n v="0"/>
    <x v="445"/>
    <n v="0"/>
    <x v="445"/>
    <s v="Not achive"/>
  </r>
  <r>
    <n v="800118"/>
    <s v="13-12-2024"/>
    <x v="2"/>
    <s v="Punjab"/>
    <s v="Ludhiana"/>
    <s v="Exchange Program"/>
    <s v="Om Sai Auto Hub"/>
    <s v="Tata Motors"/>
    <s v="CV - SCV"/>
    <x v="1"/>
    <s v="Base"/>
    <s v="Priya Nair"/>
    <n v="5"/>
    <x v="1"/>
    <n v="551425.53"/>
    <n v="7.5"/>
    <n v="0"/>
    <x v="446"/>
    <n v="206784.57"/>
    <x v="446"/>
    <s v="Achive"/>
  </r>
  <r>
    <n v="800383"/>
    <s v="14-12-2024"/>
    <x v="3"/>
    <s v="Rajasthan"/>
    <s v="Jaipur"/>
    <s v="Online Booking"/>
    <s v="Metro Tata Motors"/>
    <s v="Tata Motors"/>
    <s v="PV - EV"/>
    <x v="12"/>
    <s v="XE"/>
    <s v="Rohit Verma"/>
    <n v="1"/>
    <x v="10"/>
    <n v="1237945.9099999999"/>
    <n v="0"/>
    <n v="0"/>
    <x v="447"/>
    <n v="0"/>
    <x v="447"/>
    <s v="Not achive"/>
  </r>
  <r>
    <n v="800612"/>
    <s v="15-12-2024"/>
    <x v="1"/>
    <s v="Tamil Nadu"/>
    <s v="Chennai"/>
    <s v="Exchange Program"/>
    <s v="Landmark Motors"/>
    <s v="Tata Motors"/>
    <s v="PV - ICE"/>
    <x v="14"/>
    <s v="XT"/>
    <s v="Vikas Yadav"/>
    <n v="2"/>
    <x v="12"/>
    <n v="660017.36"/>
    <n v="0"/>
    <n v="1"/>
    <x v="448"/>
    <n v="0"/>
    <x v="448"/>
    <s v="Not achive"/>
  </r>
  <r>
    <n v="800160"/>
    <s v="16-12-2024"/>
    <x v="0"/>
    <s v="Bihar"/>
    <s v="Patna"/>
    <s v="Corporate/Fleet Sale"/>
    <s v="National Tata Dealership"/>
    <s v="Tata Motors"/>
    <s v="PV - ICE"/>
    <x v="10"/>
    <s v="Smart"/>
    <s v="Sneha Kapoor"/>
    <n v="3"/>
    <x v="8"/>
    <n v="956617.67"/>
    <n v="5"/>
    <n v="0"/>
    <x v="449"/>
    <n v="143492.65"/>
    <x v="449"/>
    <s v="Achive"/>
  </r>
  <r>
    <n v="800022"/>
    <s v="17-12-2024"/>
    <x v="3"/>
    <s v="Maharashtra"/>
    <s v="Nashik"/>
    <s v="Exchange Program"/>
    <s v="Landmark Motors"/>
    <s v="Tata Motors"/>
    <s v="PV - ICE"/>
    <x v="13"/>
    <s v="Pure"/>
    <s v="Anjali Rao"/>
    <n v="1"/>
    <x v="11"/>
    <n v="1898496.87"/>
    <n v="0"/>
    <n v="0"/>
    <x v="450"/>
    <n v="0"/>
    <x v="450"/>
    <s v="Not achive"/>
  </r>
  <r>
    <n v="800144"/>
    <s v="17-12-2024"/>
    <x v="2"/>
    <s v="Haryana"/>
    <s v="Hisar"/>
    <s v="Authorized Dealer"/>
    <s v="Om Sai Auto Hub"/>
    <s v="Tata Motors"/>
    <s v="PV - EV"/>
    <x v="11"/>
    <s v="Accomplished"/>
    <s v="Rohit Verma"/>
    <n v="1"/>
    <x v="9"/>
    <n v="1810062.82"/>
    <n v="0"/>
    <n v="0"/>
    <x v="451"/>
    <n v="0"/>
    <x v="451"/>
    <s v="Not achive"/>
  </r>
  <r>
    <n v="800247"/>
    <s v="18-12-2024"/>
    <x v="1"/>
    <s v="Telangana"/>
    <s v="Warangal"/>
    <s v="Online Booking"/>
    <s v="Concorde Tata"/>
    <s v="Tata Motors"/>
    <s v="PV - ICE"/>
    <x v="7"/>
    <s v="Fearless+"/>
    <s v="Divya Pillai"/>
    <n v="3"/>
    <x v="5"/>
    <n v="1661977.84"/>
    <n v="0"/>
    <n v="0"/>
    <x v="452"/>
    <n v="0"/>
    <x v="452"/>
    <s v="Achive"/>
  </r>
  <r>
    <n v="800370"/>
    <s v="18-12-2024"/>
    <x v="0"/>
    <s v="Odisha"/>
    <s v="Bhubaneswar"/>
    <s v="Online Booking"/>
    <s v="Statesman Cars"/>
    <s v="Tata Motors"/>
    <s v="PV - ICE"/>
    <x v="6"/>
    <s v="Adventure"/>
    <s v="Karan Mehta"/>
    <n v="1"/>
    <x v="4"/>
    <n v="706811.56"/>
    <n v="0"/>
    <n v="0"/>
    <x v="453"/>
    <n v="0"/>
    <x v="453"/>
    <s v="Not achive"/>
  </r>
  <r>
    <n v="800389"/>
    <s v="18-12-2024"/>
    <x v="0"/>
    <s v="Odisha"/>
    <s v="Cuttack"/>
    <s v="Exchange Program"/>
    <s v="Landmark Motors"/>
    <s v="Tata Motors"/>
    <s v="CV - Pickup"/>
    <x v="2"/>
    <s v="AC Cabin"/>
    <s v="Neha Singh"/>
    <n v="5"/>
    <x v="2"/>
    <n v="788616.68"/>
    <n v="5"/>
    <n v="0"/>
    <x v="454"/>
    <n v="197154.17"/>
    <x v="454"/>
    <s v="Achive"/>
  </r>
  <r>
    <n v="800098"/>
    <s v="19-12-2024"/>
    <x v="3"/>
    <s v="Gujarat"/>
    <s v="Vadodara"/>
    <s v="Company Showroom"/>
    <s v="Sai Service Tata"/>
    <s v="Tata Motors"/>
    <s v="PV - EV"/>
    <x v="8"/>
    <s v="Empowered"/>
    <s v="Amit Sharma"/>
    <n v="3"/>
    <x v="6"/>
    <n v="1459766.85"/>
    <n v="12.5"/>
    <n v="0"/>
    <x v="455"/>
    <n v="547412.56999999995"/>
    <x v="455"/>
    <s v="Achive"/>
  </r>
  <r>
    <n v="800127"/>
    <s v="19-12-2024"/>
    <x v="3"/>
    <s v="Gujarat"/>
    <s v="Vadodara"/>
    <s v="Online Booking"/>
    <s v="Big Wheels Auto"/>
    <s v="Tata Motors"/>
    <s v="PV - EV"/>
    <x v="11"/>
    <s v="Creative"/>
    <s v="Divya Pillai"/>
    <n v="1"/>
    <x v="9"/>
    <n v="1771655.67"/>
    <n v="0"/>
    <n v="0"/>
    <x v="456"/>
    <n v="0"/>
    <x v="456"/>
    <s v="Not achive"/>
  </r>
  <r>
    <n v="800254"/>
    <s v="21-12-2024"/>
    <x v="0"/>
    <s v="Odisha"/>
    <s v="Bhubaneswar"/>
    <s v="Corporate/Fleet Sale"/>
    <s v="Concorde Tata"/>
    <s v="Tata Motors"/>
    <s v="PV - EV"/>
    <x v="12"/>
    <s v="XZ+"/>
    <s v="Amit Sharma"/>
    <n v="3"/>
    <x v="10"/>
    <n v="1254582.8600000001"/>
    <n v="0"/>
    <n v="0"/>
    <x v="457"/>
    <n v="0"/>
    <x v="457"/>
    <s v="Achive"/>
  </r>
  <r>
    <n v="800604"/>
    <s v="21-12-2024"/>
    <x v="2"/>
    <s v="Uttar Pradesh"/>
    <s v="Noida"/>
    <s v="Company Showroom"/>
    <s v="Landmark Motors"/>
    <s v="Tata Motors"/>
    <s v="PV - EV"/>
    <x v="8"/>
    <s v="Creative"/>
    <s v="Rohit Verma"/>
    <n v="2"/>
    <x v="6"/>
    <n v="1498185.7"/>
    <n v="0"/>
    <n v="0"/>
    <x v="458"/>
    <n v="0"/>
    <x v="458"/>
    <s v="Achive"/>
  </r>
  <r>
    <n v="800645"/>
    <s v="21-12-2024"/>
    <x v="0"/>
    <s v="West Bengal"/>
    <s v="Kolkata"/>
    <s v="Company Showroom"/>
    <s v="Om Sai Auto Hub"/>
    <s v="Tata Motors"/>
    <s v="PV - EV"/>
    <x v="8"/>
    <s v="Creative"/>
    <s v="Suresh Kumar"/>
    <n v="2"/>
    <x v="6"/>
    <n v="1486005.71"/>
    <n v="10"/>
    <n v="0"/>
    <x v="459"/>
    <n v="297201.14"/>
    <x v="459"/>
    <s v="Achive"/>
  </r>
  <r>
    <n v="800148"/>
    <s v="22-12-2024"/>
    <x v="0"/>
    <s v="Odisha"/>
    <s v="Cuttack"/>
    <s v="Authorized Dealer"/>
    <s v="Om Sai Auto Hub"/>
    <s v="Tata Motors"/>
    <s v="PV - ICE"/>
    <x v="4"/>
    <s v="XM"/>
    <s v="Suresh Kumar"/>
    <n v="1"/>
    <x v="2"/>
    <n v="788906.43"/>
    <n v="2"/>
    <n v="0"/>
    <x v="460"/>
    <n v="15778.13"/>
    <x v="460"/>
    <s v="Not achive"/>
  </r>
  <r>
    <n v="800159"/>
    <s v="22-12-2024"/>
    <x v="1"/>
    <s v="Karnataka"/>
    <s v="Hubli"/>
    <s v="Exchange Program"/>
    <s v="Om Sai Auto Hub"/>
    <s v="Tata Motors"/>
    <s v="PV - EV"/>
    <x v="8"/>
    <s v="Empowered"/>
    <s v="Anjali Rao"/>
    <n v="1"/>
    <x v="6"/>
    <n v="1457918.55"/>
    <n v="7.5"/>
    <n v="0"/>
    <x v="461"/>
    <n v="109343.89"/>
    <x v="461"/>
    <s v="Not achive"/>
  </r>
  <r>
    <n v="800042"/>
    <s v="23-12-2024"/>
    <x v="0"/>
    <s v="Odisha"/>
    <s v="Bhubaneswar"/>
    <s v="Company Showroom"/>
    <s v="Sai Service Tata"/>
    <s v="Tata Motors"/>
    <s v="CV - Pickup"/>
    <x v="2"/>
    <s v="AC Cabin"/>
    <s v="Priya Nair"/>
    <n v="3"/>
    <x v="2"/>
    <n v="806071.07"/>
    <n v="5"/>
    <n v="0"/>
    <x v="462"/>
    <n v="120910.66"/>
    <x v="462"/>
    <s v="Achive"/>
  </r>
  <r>
    <n v="800371"/>
    <s v="24-12-2024"/>
    <x v="1"/>
    <s v="Karnataka"/>
    <s v="Bengaluru"/>
    <s v="Corporate/Fleet Sale"/>
    <s v="Capital Cars"/>
    <s v="Tata Motors"/>
    <s v="PV - EV"/>
    <x v="12"/>
    <s v="XE"/>
    <s v="Vikas Yadav"/>
    <n v="2"/>
    <x v="10"/>
    <n v="1236591.3700000001"/>
    <n v="0"/>
    <n v="1"/>
    <x v="463"/>
    <n v="0"/>
    <x v="463"/>
    <s v="Achive"/>
  </r>
  <r>
    <n v="800532"/>
    <s v="24-12-2024"/>
    <x v="0"/>
    <s v="Bihar"/>
    <s v="Gaya"/>
    <s v="Company Showroom"/>
    <s v="Sunrise Tata Showroom"/>
    <s v="Tata Motors"/>
    <s v="PV - EV"/>
    <x v="12"/>
    <s v="XE"/>
    <s v="Karan Mehta"/>
    <n v="1"/>
    <x v="10"/>
    <n v="1248632.5900000001"/>
    <n v="2"/>
    <n v="0"/>
    <x v="464"/>
    <n v="24972.65"/>
    <x v="464"/>
    <s v="Not achive"/>
  </r>
  <r>
    <n v="800626"/>
    <s v="24-12-2024"/>
    <x v="2"/>
    <s v="Haryana"/>
    <s v="Panipat"/>
    <s v="Online Booking"/>
    <s v="Concorde Tata"/>
    <s v="Tata Motors"/>
    <s v="CV - Pickup"/>
    <x v="9"/>
    <s v="CX"/>
    <s v="Rohit Verma"/>
    <n v="2"/>
    <x v="7"/>
    <n v="1019209.31"/>
    <n v="5"/>
    <n v="0"/>
    <x v="465"/>
    <n v="101920.93"/>
    <x v="465"/>
    <s v="Not achive"/>
  </r>
  <r>
    <n v="800401"/>
    <s v="25-12-2024"/>
    <x v="1"/>
    <s v="Tamil Nadu"/>
    <s v="Chennai"/>
    <s v="Company Showroom"/>
    <s v="Metro Tata Motors"/>
    <s v="Tata Motors"/>
    <s v="PV - ICE"/>
    <x v="0"/>
    <s v="XE"/>
    <s v="Amit Sharma"/>
    <n v="2"/>
    <x v="0"/>
    <n v="748066.27"/>
    <n v="0"/>
    <n v="0"/>
    <x v="466"/>
    <n v="0"/>
    <x v="466"/>
    <s v="Not achive"/>
  </r>
  <r>
    <n v="800494"/>
    <s v="26-12-2024"/>
    <x v="0"/>
    <s v="Odisha"/>
    <s v="Bhubaneswar"/>
    <s v="Authorized Dealer"/>
    <s v="Landmark Motors"/>
    <s v="Tata Motors"/>
    <s v="PV - EV"/>
    <x v="12"/>
    <s v="XZ+"/>
    <s v="Neha Singh"/>
    <n v="1"/>
    <x v="10"/>
    <n v="1248766.8"/>
    <n v="0"/>
    <n v="0"/>
    <x v="467"/>
    <n v="0"/>
    <x v="467"/>
    <s v="Not achive"/>
  </r>
  <r>
    <n v="800625"/>
    <s v="26-12-2024"/>
    <x v="3"/>
    <s v="Gujarat"/>
    <s v="Ahmedabad"/>
    <s v="Online Booking"/>
    <s v="Concorde Tata"/>
    <s v="Tata Motors"/>
    <s v="PV - ICE"/>
    <x v="14"/>
    <s v="XZ+"/>
    <s v="Neha Singh"/>
    <n v="2"/>
    <x v="12"/>
    <n v="652484.30000000005"/>
    <n v="0"/>
    <n v="0"/>
    <x v="468"/>
    <n v="0"/>
    <x v="468"/>
    <s v="Not achive"/>
  </r>
  <r>
    <n v="800057"/>
    <s v="28-12-2024"/>
    <x v="0"/>
    <s v="Bihar"/>
    <s v="Patna"/>
    <s v="Corporate/Fleet Sale"/>
    <s v="Prerna Automobiles"/>
    <s v="Tata Motors"/>
    <s v="PV - EV"/>
    <x v="8"/>
    <s v="Empowered"/>
    <s v="Vikas Yadav"/>
    <n v="2"/>
    <x v="6"/>
    <n v="1504797"/>
    <n v="7.5"/>
    <n v="0"/>
    <x v="469"/>
    <n v="225719.55"/>
    <x v="469"/>
    <s v="Achive"/>
  </r>
  <r>
    <n v="800082"/>
    <s v="28-12-2024"/>
    <x v="2"/>
    <s v="Punjab"/>
    <s v="Amritsar"/>
    <s v="Corporate/Fleet Sale"/>
    <s v="Landmark Motors"/>
    <s v="Tata Motors"/>
    <s v="PV - ICE"/>
    <x v="14"/>
    <s v="XT"/>
    <s v="Anjali Rao"/>
    <n v="2"/>
    <x v="12"/>
    <n v="642150.06000000006"/>
    <n v="10"/>
    <n v="0"/>
    <x v="470"/>
    <n v="128430.01"/>
    <x v="470"/>
    <s v="Not achive"/>
  </r>
  <r>
    <n v="800502"/>
    <s v="28-12-2024"/>
    <x v="0"/>
    <s v="West Bengal"/>
    <s v="Howrah"/>
    <s v="Online Booking"/>
    <s v="Sai Service Tata"/>
    <s v="Tata Motors"/>
    <s v="CV - SCV"/>
    <x v="1"/>
    <s v="Base"/>
    <s v="Sneha Kapoor"/>
    <n v="6"/>
    <x v="1"/>
    <n v="552904.21"/>
    <n v="12.5"/>
    <n v="0"/>
    <x v="471"/>
    <n v="414678.16"/>
    <x v="471"/>
    <s v="Achive"/>
  </r>
  <r>
    <n v="800013"/>
    <s v="29-12-2024"/>
    <x v="1"/>
    <s v="Kerala"/>
    <s v="Kochi"/>
    <s v="Authorized Dealer"/>
    <s v="Prerna Automobiles"/>
    <s v="Tata Motors"/>
    <s v="CV - Pickup"/>
    <x v="9"/>
    <s v="Base"/>
    <s v="Amit Sharma"/>
    <n v="6"/>
    <x v="7"/>
    <n v="994299.52"/>
    <n v="0"/>
    <n v="0"/>
    <x v="472"/>
    <n v="0"/>
    <x v="472"/>
    <s v="Achive"/>
  </r>
  <r>
    <n v="800164"/>
    <s v="29-12-2024"/>
    <x v="3"/>
    <s v="Rajasthan"/>
    <s v="Jaipur"/>
    <s v="Exchange Program"/>
    <s v="Big Wheels Auto"/>
    <s v="Tata Motors"/>
    <s v="PV - ICE"/>
    <x v="7"/>
    <s v="Pure"/>
    <s v="Divya Pillai"/>
    <n v="2"/>
    <x v="5"/>
    <n v="1675668.97"/>
    <n v="0"/>
    <n v="0"/>
    <x v="473"/>
    <n v="0"/>
    <x v="473"/>
    <s v="Achive"/>
  </r>
  <r>
    <n v="800541"/>
    <s v="29-12-2024"/>
    <x v="0"/>
    <s v="West Bengal"/>
    <s v="Kolkata"/>
    <s v="Authorized Dealer"/>
    <s v="Big Wheels Auto"/>
    <s v="Tata Motors"/>
    <s v="PV - ICE"/>
    <x v="10"/>
    <s v="Creative"/>
    <s v="Priya Nair"/>
    <n v="3"/>
    <x v="8"/>
    <n v="946517.42"/>
    <n v="0"/>
    <n v="0"/>
    <x v="474"/>
    <n v="0"/>
    <x v="474"/>
    <s v="Achive"/>
  </r>
  <r>
    <n v="800215"/>
    <s v="30-12-2024"/>
    <x v="1"/>
    <s v="Karnataka"/>
    <s v="Mysuru"/>
    <s v="Company Showroom"/>
    <s v="Sai Service Tata"/>
    <s v="Tata Motors"/>
    <s v="PV - EV"/>
    <x v="8"/>
    <s v="Fearless"/>
    <s v="Amit Sharma"/>
    <n v="2"/>
    <x v="6"/>
    <n v="1529302.55"/>
    <n v="12.5"/>
    <n v="0"/>
    <x v="475"/>
    <n v="382325.64"/>
    <x v="475"/>
    <s v="Achive"/>
  </r>
  <r>
    <n v="800010"/>
    <s v="31-12-2024"/>
    <x v="2"/>
    <s v="Punjab"/>
    <s v="Ludhiana"/>
    <s v="Exchange Program"/>
    <s v="Capital Cars"/>
    <s v="Tata Motors"/>
    <s v="PV - EV"/>
    <x v="11"/>
    <s v="Accomplished"/>
    <s v="Divya Pillai"/>
    <n v="1"/>
    <x v="9"/>
    <n v="1807225.51"/>
    <n v="0"/>
    <n v="0"/>
    <x v="476"/>
    <n v="0"/>
    <x v="476"/>
    <s v="Not achive"/>
  </r>
  <r>
    <n v="800033"/>
    <s v="31-12-2024"/>
    <x v="3"/>
    <s v="Maharashtra"/>
    <s v="Nashik"/>
    <s v="Company Showroom"/>
    <s v="Metro Tata Motors"/>
    <s v="Tata Motors"/>
    <s v="PV - ICE"/>
    <x v="10"/>
    <s v="Creative"/>
    <s v="Amit Sharma"/>
    <n v="2"/>
    <x v="8"/>
    <n v="938179.44"/>
    <n v="10"/>
    <n v="0"/>
    <x v="477"/>
    <n v="187635.89"/>
    <x v="477"/>
    <s v="Not achive"/>
  </r>
  <r>
    <n v="800058"/>
    <s v="31-12-2024"/>
    <x v="1"/>
    <s v="Telangana"/>
    <s v="Warangal"/>
    <s v="Corporate/Fleet Sale"/>
    <s v="Sai Service Tata"/>
    <s v="Tata Motors"/>
    <s v="PV - ICE"/>
    <x v="3"/>
    <s v="Creative"/>
    <s v="Rohit Verma"/>
    <n v="2"/>
    <x v="3"/>
    <n v="1177832.28"/>
    <n v="2"/>
    <n v="0"/>
    <x v="478"/>
    <n v="47113.29"/>
    <x v="478"/>
    <s v="Achive"/>
  </r>
  <r>
    <n v="800343"/>
    <s v="31-12-2024"/>
    <x v="1"/>
    <s v="Telangana"/>
    <s v="Warangal"/>
    <s v="Authorized Dealer"/>
    <s v="Sai Service Tata"/>
    <s v="Tata Motors"/>
    <s v="PV - ICE"/>
    <x v="10"/>
    <s v="Fearless+"/>
    <s v="Vikas Yadav"/>
    <n v="1"/>
    <x v="8"/>
    <n v="946228.8"/>
    <n v="0"/>
    <n v="0"/>
    <x v="479"/>
    <n v="0"/>
    <x v="479"/>
    <s v="Not achive"/>
  </r>
  <r>
    <n v="800517"/>
    <s v="31-12-2024"/>
    <x v="2"/>
    <s v="Haryana"/>
    <s v="Gurugram"/>
    <s v="Corporate/Fleet Sale"/>
    <s v="Sai Service Tata"/>
    <s v="Tata Motors"/>
    <s v="PV - ICE"/>
    <x v="14"/>
    <s v="XT"/>
    <s v="Amit Sharma"/>
    <n v="1"/>
    <x v="12"/>
    <n v="656730.87"/>
    <n v="12.5"/>
    <n v="0"/>
    <x v="480"/>
    <n v="82091.360000000001"/>
    <x v="480"/>
    <s v="Not achive"/>
  </r>
  <r>
    <n v="800053"/>
    <s v="01-01-2025"/>
    <x v="2"/>
    <s v="Punjab"/>
    <s v="Ludhiana"/>
    <s v="Online Booking"/>
    <s v="Sai Service Tata"/>
    <s v="Tata Motors"/>
    <s v="PV - ICE"/>
    <x v="4"/>
    <s v="XM"/>
    <s v="Suresh Kumar"/>
    <n v="3"/>
    <x v="2"/>
    <n v="796869.87"/>
    <n v="5"/>
    <n v="0"/>
    <x v="481"/>
    <n v="119530.48"/>
    <x v="481"/>
    <s v="Achive"/>
  </r>
  <r>
    <n v="800167"/>
    <s v="01-01-2025"/>
    <x v="1"/>
    <s v="Karnataka"/>
    <s v="Mysuru"/>
    <s v="Authorized Dealer"/>
    <s v="Sunrise Tata Showroom"/>
    <s v="Tata Motors"/>
    <s v="PV - ICE"/>
    <x v="13"/>
    <s v="Smart"/>
    <s v="Neha Singh"/>
    <n v="2"/>
    <x v="11"/>
    <n v="1905317.34"/>
    <n v="12.5"/>
    <n v="0"/>
    <x v="482"/>
    <n v="476329.34"/>
    <x v="482"/>
    <s v="Achive"/>
  </r>
  <r>
    <n v="800439"/>
    <s v="01-01-2025"/>
    <x v="3"/>
    <s v="Gujarat"/>
    <s v="Vadodara"/>
    <s v="Corporate/Fleet Sale"/>
    <s v="Sai Service Tata"/>
    <s v="Tata Motors"/>
    <s v="CV - SCV"/>
    <x v="1"/>
    <s v="Base"/>
    <s v="Rohit Verma"/>
    <n v="4"/>
    <x v="1"/>
    <n v="546457.73"/>
    <n v="7.5"/>
    <n v="0"/>
    <x v="483"/>
    <n v="163937.32"/>
    <x v="483"/>
    <s v="Achive"/>
  </r>
  <r>
    <n v="800048"/>
    <s v="02-01-2025"/>
    <x v="0"/>
    <s v="West Bengal"/>
    <s v="Kolkata"/>
    <s v="Online Booking"/>
    <s v="Big Wheels Auto"/>
    <s v="Tata Motors"/>
    <s v="PV - ICE"/>
    <x v="10"/>
    <s v="Creative"/>
    <s v="Rohit Verma"/>
    <n v="2"/>
    <x v="8"/>
    <n v="933482.9"/>
    <n v="0"/>
    <n v="0"/>
    <x v="484"/>
    <n v="0"/>
    <x v="484"/>
    <s v="Not achive"/>
  </r>
  <r>
    <n v="800495"/>
    <s v="02-01-2025"/>
    <x v="1"/>
    <s v="Telangana"/>
    <s v="Hyderabad"/>
    <s v="Exchange Program"/>
    <s v="National Tata Dealership"/>
    <s v="Tata Motors"/>
    <s v="PV - ICE"/>
    <x v="0"/>
    <s v="XE"/>
    <s v="Priya Nair"/>
    <n v="3"/>
    <x v="0"/>
    <n v="755313.23"/>
    <n v="0"/>
    <n v="0"/>
    <x v="485"/>
    <n v="0"/>
    <x v="485"/>
    <s v="Achive"/>
  </r>
  <r>
    <n v="800525"/>
    <s v="02-01-2025"/>
    <x v="2"/>
    <s v="Haryana"/>
    <s v="Hisar"/>
    <s v="Online Booking"/>
    <s v="Landmark Motors"/>
    <s v="Tata Motors"/>
    <s v="PV - EV"/>
    <x v="11"/>
    <s v="Creative"/>
    <s v="Vikas Yadav"/>
    <n v="1"/>
    <x v="9"/>
    <n v="1834794.32"/>
    <n v="0"/>
    <n v="0"/>
    <x v="486"/>
    <n v="0"/>
    <x v="486"/>
    <s v="Not achive"/>
  </r>
  <r>
    <n v="800649"/>
    <s v="02-01-2025"/>
    <x v="0"/>
    <s v="Bihar"/>
    <s v="Gaya"/>
    <s v="Authorized Dealer"/>
    <s v="Landmark Motors"/>
    <s v="Tata Motors"/>
    <s v="PV - EV"/>
    <x v="11"/>
    <s v="Accomplished"/>
    <s v="Sneha Kapoor"/>
    <n v="3"/>
    <x v="9"/>
    <n v="1810699.25"/>
    <n v="0"/>
    <n v="0"/>
    <x v="487"/>
    <n v="0"/>
    <x v="487"/>
    <s v="Achive"/>
  </r>
  <r>
    <n v="800650"/>
    <s v="02-01-2025"/>
    <x v="1"/>
    <s v="Karnataka"/>
    <s v="Hubli"/>
    <s v="Exchange Program"/>
    <s v="Om Sai Auto Hub"/>
    <s v="Tata Motors"/>
    <s v="PV - EV"/>
    <x v="5"/>
    <s v="Empowered"/>
    <s v="Neha Singh"/>
    <n v="3"/>
    <x v="3"/>
    <n v="1173601.6399999999"/>
    <n v="0"/>
    <n v="0"/>
    <x v="488"/>
    <n v="0"/>
    <x v="488"/>
    <s v="Achive"/>
  </r>
  <r>
    <n v="800071"/>
    <s v="03-01-2025"/>
    <x v="2"/>
    <s v="Punjab"/>
    <s v="Amritsar"/>
    <s v="Corporate/Fleet Sale"/>
    <s v="Sunrise Tata Showroom"/>
    <s v="Tata Motors"/>
    <s v="PV - ICE"/>
    <x v="10"/>
    <s v="Smart"/>
    <s v="Sneha Kapoor"/>
    <n v="3"/>
    <x v="8"/>
    <n v="960684.04"/>
    <n v="0"/>
    <n v="0"/>
    <x v="489"/>
    <n v="0"/>
    <x v="489"/>
    <s v="Achive"/>
  </r>
  <r>
    <n v="800256"/>
    <s v="03-01-2025"/>
    <x v="1"/>
    <s v="Karnataka"/>
    <s v="Mysuru"/>
    <s v="Corporate/Fleet Sale"/>
    <s v="National Tata Dealership"/>
    <s v="Tata Motors"/>
    <s v="PV - ICE"/>
    <x v="3"/>
    <s v="Smart"/>
    <s v="Divya Pillai"/>
    <n v="1"/>
    <x v="3"/>
    <n v="1173033.98"/>
    <n v="10"/>
    <n v="0"/>
    <x v="490"/>
    <n v="117303.4"/>
    <x v="490"/>
    <s v="Not achive"/>
  </r>
  <r>
    <n v="800213"/>
    <s v="05-01-2025"/>
    <x v="0"/>
    <s v="Odisha"/>
    <s v="Cuttack"/>
    <s v="Corporate/Fleet Sale"/>
    <s v="Metro Tata Motors"/>
    <s v="Tata Motors"/>
    <s v="PV - EV"/>
    <x v="5"/>
    <s v="Adventure"/>
    <s v="Neha Singh"/>
    <n v="1"/>
    <x v="3"/>
    <n v="1219924.03"/>
    <n v="2"/>
    <n v="0"/>
    <x v="491"/>
    <n v="24398.48"/>
    <x v="491"/>
    <s v="Not achive"/>
  </r>
  <r>
    <n v="800460"/>
    <s v="06-01-2025"/>
    <x v="0"/>
    <s v="Bihar"/>
    <s v="Patna"/>
    <s v="Exchange Program"/>
    <s v="Reliance Trishakti"/>
    <s v="Tata Motors"/>
    <s v="PV - ICE"/>
    <x v="3"/>
    <s v="Creative"/>
    <s v="Sneha Kapoor"/>
    <n v="2"/>
    <x v="3"/>
    <n v="1168764.3"/>
    <n v="0"/>
    <n v="0"/>
    <x v="492"/>
    <n v="0"/>
    <x v="492"/>
    <s v="Achive"/>
  </r>
  <r>
    <n v="800072"/>
    <s v="07-01-2025"/>
    <x v="0"/>
    <s v="West Bengal"/>
    <s v="Kolkata"/>
    <s v="Company Showroom"/>
    <s v="Om Sai Auto Hub"/>
    <s v="Tata Motors"/>
    <s v="PV - ICE"/>
    <x v="10"/>
    <s v="Fearless+"/>
    <s v="Priya Nair"/>
    <n v="3"/>
    <x v="8"/>
    <n v="942496.95"/>
    <n v="0"/>
    <n v="0"/>
    <x v="493"/>
    <n v="0"/>
    <x v="493"/>
    <s v="Achive"/>
  </r>
  <r>
    <n v="800177"/>
    <s v="07-01-2025"/>
    <x v="1"/>
    <s v="Kerala"/>
    <s v="Kochi"/>
    <s v="Company Showroom"/>
    <s v="Statesman Cars"/>
    <s v="Tata Motors"/>
    <s v="PV - ICE"/>
    <x v="3"/>
    <s v="Smart"/>
    <s v="Priya Nair"/>
    <n v="3"/>
    <x v="3"/>
    <n v="1223330.28"/>
    <n v="7.5"/>
    <n v="0"/>
    <x v="494"/>
    <n v="275249.31"/>
    <x v="494"/>
    <s v="Achive"/>
  </r>
  <r>
    <n v="800073"/>
    <s v="08-01-2025"/>
    <x v="3"/>
    <s v="Gujarat"/>
    <s v="Surat"/>
    <s v="Online Booking"/>
    <s v="Concorde Tata"/>
    <s v="Tata Motors"/>
    <s v="PV - ICE"/>
    <x v="14"/>
    <s v="XZ+"/>
    <s v="Karan Mehta"/>
    <n v="1"/>
    <x v="12"/>
    <n v="653567.93999999994"/>
    <n v="5"/>
    <n v="0"/>
    <x v="495"/>
    <n v="32678.400000000001"/>
    <x v="495"/>
    <s v="Not achive"/>
  </r>
  <r>
    <n v="800145"/>
    <s v="08-01-2025"/>
    <x v="3"/>
    <s v="Maharashtra"/>
    <s v="Nagpur"/>
    <s v="Company Showroom"/>
    <s v="Prerna Automobiles"/>
    <s v="Tata Motors"/>
    <s v="CV - SCV"/>
    <x v="1"/>
    <s v="CNG"/>
    <s v="Anjali Rao"/>
    <n v="3"/>
    <x v="1"/>
    <n v="548735.59"/>
    <n v="7.5"/>
    <n v="0"/>
    <x v="496"/>
    <n v="123465.51"/>
    <x v="496"/>
    <s v="Not achive"/>
  </r>
  <r>
    <n v="800189"/>
    <s v="11-01-2025"/>
    <x v="0"/>
    <s v="Bihar"/>
    <s v="Gaya"/>
    <s v="Company Showroom"/>
    <s v="Prerna Automobiles"/>
    <s v="Tata Motors"/>
    <s v="PV - EV"/>
    <x v="5"/>
    <s v="Empowered"/>
    <s v="Suresh Kumar"/>
    <n v="2"/>
    <x v="3"/>
    <n v="1218884.47"/>
    <n v="10"/>
    <n v="0"/>
    <x v="497"/>
    <n v="243776.89"/>
    <x v="497"/>
    <s v="Achive"/>
  </r>
  <r>
    <n v="800207"/>
    <s v="11-01-2025"/>
    <x v="1"/>
    <s v="Tamil Nadu"/>
    <s v="Chennai"/>
    <s v="Authorized Dealer"/>
    <s v="Sunrise Tata Showroom"/>
    <s v="Tata Motors"/>
    <s v="PV - ICE"/>
    <x v="3"/>
    <s v="Creative"/>
    <s v="Rohit Verma"/>
    <n v="1"/>
    <x v="3"/>
    <n v="1171950.42"/>
    <n v="0"/>
    <n v="0"/>
    <x v="498"/>
    <n v="0"/>
    <x v="498"/>
    <s v="Not achive"/>
  </r>
  <r>
    <n v="800416"/>
    <s v="11-01-2025"/>
    <x v="2"/>
    <s v="Haryana"/>
    <s v="Gurugram"/>
    <s v="Authorized Dealer"/>
    <s v="Big Wheels Auto"/>
    <s v="Tata Motors"/>
    <s v="PV - ICE"/>
    <x v="7"/>
    <s v="Smart"/>
    <s v="Divya Pillai"/>
    <n v="1"/>
    <x v="5"/>
    <n v="1659695.33"/>
    <n v="2"/>
    <n v="0"/>
    <x v="499"/>
    <n v="33193.910000000003"/>
    <x v="499"/>
    <s v="Not achive"/>
  </r>
  <r>
    <n v="800030"/>
    <s v="12-01-2025"/>
    <x v="3"/>
    <s v="Gujarat"/>
    <s v="Vadodara"/>
    <s v="Authorized Dealer"/>
    <s v="Sunrise Tata Showroom"/>
    <s v="Tata Motors"/>
    <s v="PV - ICE"/>
    <x v="10"/>
    <s v="Smart"/>
    <s v="Neha Singh"/>
    <n v="1"/>
    <x v="8"/>
    <n v="953898.17"/>
    <n v="0"/>
    <n v="0"/>
    <x v="500"/>
    <n v="0"/>
    <x v="500"/>
    <s v="Not achive"/>
  </r>
  <r>
    <n v="800376"/>
    <s v="12-01-2025"/>
    <x v="1"/>
    <s v="Kerala"/>
    <s v="Thiruvananthapuram"/>
    <s v="Exchange Program"/>
    <s v="Big Wheels Auto"/>
    <s v="Tata Motors"/>
    <s v="PV - EV"/>
    <x v="12"/>
    <s v="XZ+"/>
    <s v="Sneha Kapoor"/>
    <n v="1"/>
    <x v="10"/>
    <n v="1238326.76"/>
    <n v="12.5"/>
    <n v="0"/>
    <x v="501"/>
    <n v="154790.85"/>
    <x v="501"/>
    <s v="Not achive"/>
  </r>
  <r>
    <n v="800417"/>
    <s v="12-01-2025"/>
    <x v="1"/>
    <s v="Telangana"/>
    <s v="Hyderabad"/>
    <s v="Authorized Dealer"/>
    <s v="Sai Service Tata"/>
    <s v="Tata Motors"/>
    <s v="PV - EV"/>
    <x v="8"/>
    <s v="Fearless"/>
    <s v="Suresh Kumar"/>
    <n v="2"/>
    <x v="6"/>
    <n v="1522399.73"/>
    <n v="12.5"/>
    <n v="0"/>
    <x v="502"/>
    <n v="380599.93"/>
    <x v="502"/>
    <s v="Achive"/>
  </r>
  <r>
    <n v="800226"/>
    <s v="13-01-2025"/>
    <x v="1"/>
    <s v="Karnataka"/>
    <s v="Hubli"/>
    <s v="Corporate/Fleet Sale"/>
    <s v="Capital Cars"/>
    <s v="Tata Motors"/>
    <s v="PV - EV"/>
    <x v="12"/>
    <s v="XE"/>
    <s v="Neha Singh"/>
    <n v="1"/>
    <x v="10"/>
    <n v="1242788.06"/>
    <n v="2"/>
    <n v="0"/>
    <x v="503"/>
    <n v="24855.759999999998"/>
    <x v="503"/>
    <s v="Not achive"/>
  </r>
  <r>
    <n v="800178"/>
    <s v="14-01-2025"/>
    <x v="0"/>
    <s v="Odisha"/>
    <s v="Cuttack"/>
    <s v="Company Showroom"/>
    <s v="Reliance Trishakti"/>
    <s v="Tata Motors"/>
    <s v="CV - SCV"/>
    <x v="1"/>
    <s v="Base"/>
    <s v="Divya Pillai"/>
    <n v="4"/>
    <x v="1"/>
    <n v="548024.76"/>
    <n v="7.5"/>
    <n v="0"/>
    <x v="504"/>
    <n v="164407.43"/>
    <x v="504"/>
    <s v="Achive"/>
  </r>
  <r>
    <n v="800202"/>
    <s v="14-01-2025"/>
    <x v="1"/>
    <s v="Tamil Nadu"/>
    <s v="Chennai"/>
    <s v="Company Showroom"/>
    <s v="Prerna Automobiles"/>
    <s v="Tata Motors"/>
    <s v="CV - Pickup"/>
    <x v="9"/>
    <s v="CX"/>
    <s v="Rohit Verma"/>
    <n v="1"/>
    <x v="7"/>
    <n v="1016207.96"/>
    <n v="5"/>
    <n v="0"/>
    <x v="505"/>
    <n v="50810.400000000001"/>
    <x v="505"/>
    <s v="Not achive"/>
  </r>
  <r>
    <n v="800271"/>
    <s v="14-01-2025"/>
    <x v="0"/>
    <s v="West Bengal"/>
    <s v="Kolkata"/>
    <s v="Company Showroom"/>
    <s v="Prerna Automobiles"/>
    <s v="Tata Motors"/>
    <s v="PV - EV"/>
    <x v="12"/>
    <s v="XZ+"/>
    <s v="Neha Singh"/>
    <n v="3"/>
    <x v="10"/>
    <n v="1214262.9099999999"/>
    <n v="7.5"/>
    <n v="0"/>
    <x v="506"/>
    <n v="273209.15000000002"/>
    <x v="506"/>
    <s v="Achive"/>
  </r>
  <r>
    <n v="800457"/>
    <s v="15-01-2025"/>
    <x v="1"/>
    <s v="Tamil Nadu"/>
    <s v="Coimbatore"/>
    <s v="Exchange Program"/>
    <s v="National Tata Dealership"/>
    <s v="Tata Motors"/>
    <s v="PV - ICE"/>
    <x v="4"/>
    <s v="XM"/>
    <s v="Divya Pillai"/>
    <n v="2"/>
    <x v="2"/>
    <n v="777756.24"/>
    <n v="0"/>
    <n v="0"/>
    <x v="507"/>
    <n v="0"/>
    <x v="507"/>
    <s v="Not achive"/>
  </r>
  <r>
    <n v="800007"/>
    <s v="16-01-2025"/>
    <x v="3"/>
    <s v="Rajasthan"/>
    <s v="Jodhpur"/>
    <s v="Authorized Dealer"/>
    <s v="Prerna Automobiles"/>
    <s v="Tata Motors"/>
    <s v="CV - Pickup"/>
    <x v="2"/>
    <s v="Base"/>
    <s v="Neha Singh"/>
    <n v="4"/>
    <x v="2"/>
    <n v="786709.64"/>
    <n v="2"/>
    <n v="0"/>
    <x v="508"/>
    <n v="62936.77"/>
    <x v="508"/>
    <s v="Achive"/>
  </r>
  <r>
    <n v="800173"/>
    <s v="16-01-2025"/>
    <x v="1"/>
    <s v="Karnataka"/>
    <s v="Hubli"/>
    <s v="Corporate/Fleet Sale"/>
    <s v="Statesman Cars"/>
    <s v="Tata Motors"/>
    <s v="PV - ICE"/>
    <x v="13"/>
    <s v="Pure"/>
    <s v="Rohit Verma"/>
    <n v="3"/>
    <x v="11"/>
    <n v="1860688.91"/>
    <n v="7.5"/>
    <n v="0"/>
    <x v="509"/>
    <n v="418655"/>
    <x v="509"/>
    <s v="Achive"/>
  </r>
  <r>
    <n v="800054"/>
    <s v="17-01-2025"/>
    <x v="0"/>
    <s v="West Bengal"/>
    <s v="Howrah"/>
    <s v="Exchange Program"/>
    <s v="Sunrise Tata Showroom"/>
    <s v="Tata Motors"/>
    <s v="PV - ICE"/>
    <x v="10"/>
    <s v="Smart"/>
    <s v="Amit Sharma"/>
    <n v="2"/>
    <x v="8"/>
    <n v="963377.48"/>
    <n v="2"/>
    <n v="0"/>
    <x v="510"/>
    <n v="38535.1"/>
    <x v="510"/>
    <s v="Not achive"/>
  </r>
  <r>
    <n v="800430"/>
    <s v="17-01-2025"/>
    <x v="1"/>
    <s v="Karnataka"/>
    <s v="Hubli"/>
    <s v="Corporate/Fleet Sale"/>
    <s v="Big Wheels Auto"/>
    <s v="Tata Motors"/>
    <s v="CV - Pickup"/>
    <x v="9"/>
    <s v="Base"/>
    <s v="Vikas Yadav"/>
    <n v="3"/>
    <x v="7"/>
    <n v="1010553.71"/>
    <n v="0"/>
    <n v="0"/>
    <x v="511"/>
    <n v="0"/>
    <x v="511"/>
    <s v="Achive"/>
  </r>
  <r>
    <n v="800265"/>
    <s v="19-01-2025"/>
    <x v="2"/>
    <s v="Delhi"/>
    <s v="New Delhi"/>
    <s v="Company Showroom"/>
    <s v="Reliance Trishakti"/>
    <s v="Tata Motors"/>
    <s v="PV - ICE"/>
    <x v="3"/>
    <s v="Smart"/>
    <s v="Amit Sharma"/>
    <n v="2"/>
    <x v="3"/>
    <n v="1171351.6599999999"/>
    <n v="12.5"/>
    <n v="0"/>
    <x v="512"/>
    <n v="292837.90999999997"/>
    <x v="512"/>
    <s v="Achive"/>
  </r>
  <r>
    <n v="800445"/>
    <s v="19-01-2025"/>
    <x v="2"/>
    <s v="Haryana"/>
    <s v="Faridabad"/>
    <s v="Company Showroom"/>
    <s v="Big Wheels Auto"/>
    <s v="Tata Motors"/>
    <s v="CV - Pickup"/>
    <x v="9"/>
    <s v="CX"/>
    <s v="Suresh Kumar"/>
    <n v="1"/>
    <x v="7"/>
    <n v="1006494.48"/>
    <n v="2"/>
    <n v="0"/>
    <x v="513"/>
    <n v="20129.89"/>
    <x v="513"/>
    <s v="Not achive"/>
  </r>
  <r>
    <n v="800497"/>
    <s v="19-01-2025"/>
    <x v="1"/>
    <s v="Karnataka"/>
    <s v="Hubli"/>
    <s v="Exchange Program"/>
    <s v="Sai Service Tata"/>
    <s v="Tata Motors"/>
    <s v="PV - EV"/>
    <x v="5"/>
    <s v="Empowered"/>
    <s v="Karan Mehta"/>
    <n v="2"/>
    <x v="3"/>
    <n v="1167685.07"/>
    <n v="12.5"/>
    <n v="0"/>
    <x v="514"/>
    <n v="291921.27"/>
    <x v="514"/>
    <s v="Achive"/>
  </r>
  <r>
    <n v="800186"/>
    <s v="20-01-2025"/>
    <x v="0"/>
    <s v="West Bengal"/>
    <s v="Kolkata"/>
    <s v="Exchange Program"/>
    <s v="Prerna Automobiles"/>
    <s v="Tata Motors"/>
    <s v="CV - SCV"/>
    <x v="1"/>
    <s v="Base"/>
    <s v="Suresh Kumar"/>
    <n v="5"/>
    <x v="1"/>
    <n v="560820.79"/>
    <n v="2"/>
    <n v="0"/>
    <x v="515"/>
    <n v="56082.080000000002"/>
    <x v="515"/>
    <s v="Achive"/>
  </r>
  <r>
    <n v="800154"/>
    <s v="21-01-2025"/>
    <x v="0"/>
    <s v="Bihar"/>
    <s v="Patna"/>
    <s v="Authorized Dealer"/>
    <s v="Landmark Motors"/>
    <s v="Tata Motors"/>
    <s v="PV - EV"/>
    <x v="5"/>
    <s v="Adventure"/>
    <s v="Karan Mehta"/>
    <n v="2"/>
    <x v="3"/>
    <n v="1178896.22"/>
    <n v="0"/>
    <n v="0"/>
    <x v="516"/>
    <n v="0"/>
    <x v="516"/>
    <s v="Achive"/>
  </r>
  <r>
    <n v="800279"/>
    <s v="21-01-2025"/>
    <x v="0"/>
    <s v="West Bengal"/>
    <s v="Howrah"/>
    <s v="Company Showroom"/>
    <s v="Metro Tata Motors"/>
    <s v="Tata Motors"/>
    <s v="PV - ICE"/>
    <x v="3"/>
    <s v="Creative"/>
    <s v="Neha Singh"/>
    <n v="3"/>
    <x v="3"/>
    <n v="1186520.8500000001"/>
    <n v="12.5"/>
    <n v="0"/>
    <x v="517"/>
    <n v="444945.32"/>
    <x v="517"/>
    <s v="Achive"/>
  </r>
  <r>
    <n v="800431"/>
    <s v="21-01-2025"/>
    <x v="3"/>
    <s v="Rajasthan"/>
    <s v="Jaipur"/>
    <s v="Corporate/Fleet Sale"/>
    <s v="Capital Cars"/>
    <s v="Tata Motors"/>
    <s v="PV - ICE"/>
    <x v="4"/>
    <s v="XM"/>
    <s v="Karan Mehta"/>
    <n v="1"/>
    <x v="2"/>
    <n v="799809.25"/>
    <n v="5"/>
    <n v="0"/>
    <x v="518"/>
    <n v="39990.46"/>
    <x v="518"/>
    <s v="Not achive"/>
  </r>
  <r>
    <n v="800462"/>
    <s v="22-01-2025"/>
    <x v="1"/>
    <s v="Kerala"/>
    <s v="Kochi"/>
    <s v="Authorized Dealer"/>
    <s v="Concorde Tata"/>
    <s v="Tata Motors"/>
    <s v="PV - EV"/>
    <x v="8"/>
    <s v="Creative"/>
    <s v="Suresh Kumar"/>
    <n v="3"/>
    <x v="6"/>
    <n v="1476328.54"/>
    <n v="0"/>
    <n v="0"/>
    <x v="519"/>
    <n v="0"/>
    <x v="519"/>
    <s v="Achive"/>
  </r>
  <r>
    <n v="800533"/>
    <s v="22-01-2025"/>
    <x v="0"/>
    <s v="Bihar"/>
    <s v="Gaya"/>
    <s v="Online Booking"/>
    <s v="Sunrise Tata Showroom"/>
    <s v="Tata Motors"/>
    <s v="PV - ICE"/>
    <x v="14"/>
    <s v="XZ+"/>
    <s v="Sneha Kapoor"/>
    <n v="3"/>
    <x v="12"/>
    <n v="658859.44999999995"/>
    <n v="2"/>
    <n v="0"/>
    <x v="520"/>
    <n v="39531.57"/>
    <x v="520"/>
    <s v="Not achive"/>
  </r>
  <r>
    <n v="800562"/>
    <s v="22-01-2025"/>
    <x v="3"/>
    <s v="Rajasthan"/>
    <s v="Jodhpur"/>
    <s v="Corporate/Fleet Sale"/>
    <s v="Reliance Trishakti"/>
    <s v="Tata Motors"/>
    <s v="CV - SCV"/>
    <x v="1"/>
    <s v="CNG"/>
    <s v="Rohit Verma"/>
    <n v="6"/>
    <x v="1"/>
    <n v="552694.11"/>
    <n v="7.5"/>
    <n v="0"/>
    <x v="521"/>
    <n v="248712.35"/>
    <x v="521"/>
    <s v="Achive"/>
  </r>
  <r>
    <n v="800588"/>
    <s v="22-01-2025"/>
    <x v="2"/>
    <s v="Uttar Pradesh"/>
    <s v="Agra"/>
    <s v="Corporate/Fleet Sale"/>
    <s v="Landmark Motors"/>
    <s v="Tata Motors"/>
    <s v="PV - EV"/>
    <x v="5"/>
    <s v="Empowered"/>
    <s v="Sneha Kapoor"/>
    <n v="1"/>
    <x v="3"/>
    <n v="1201474.3400000001"/>
    <n v="0"/>
    <n v="0"/>
    <x v="522"/>
    <n v="0"/>
    <x v="522"/>
    <s v="Not achive"/>
  </r>
  <r>
    <n v="800336"/>
    <s v="24-01-2025"/>
    <x v="1"/>
    <s v="Karnataka"/>
    <s v="Bengaluru"/>
    <s v="Company Showroom"/>
    <s v="Om Sai Auto Hub"/>
    <s v="Tata Motors"/>
    <s v="PV - EV"/>
    <x v="11"/>
    <s v="Empowered"/>
    <s v="Neha Singh"/>
    <n v="3"/>
    <x v="9"/>
    <n v="1756386.47"/>
    <n v="7.5"/>
    <n v="0"/>
    <x v="523"/>
    <n v="395186.96"/>
    <x v="523"/>
    <s v="Achive"/>
  </r>
  <r>
    <n v="800194"/>
    <s v="25-01-2025"/>
    <x v="1"/>
    <s v="Karnataka"/>
    <s v="Mysuru"/>
    <s v="Corporate/Fleet Sale"/>
    <s v="Metro Tata Motors"/>
    <s v="Tata Motors"/>
    <s v="PV - ICE"/>
    <x v="14"/>
    <s v="XZ+"/>
    <s v="Vikas Yadav"/>
    <n v="3"/>
    <x v="12"/>
    <n v="635242.49"/>
    <n v="5"/>
    <n v="0"/>
    <x v="524"/>
    <n v="95286.37"/>
    <x v="524"/>
    <s v="Not achive"/>
  </r>
  <r>
    <n v="800205"/>
    <s v="25-01-2025"/>
    <x v="0"/>
    <s v="West Bengal"/>
    <s v="Kolkata"/>
    <s v="Corporate/Fleet Sale"/>
    <s v="Capital Cars"/>
    <s v="Tata Motors"/>
    <s v="PV - ICE"/>
    <x v="3"/>
    <s v="Smart"/>
    <s v="Neha Singh"/>
    <n v="3"/>
    <x v="3"/>
    <n v="1220468.57"/>
    <n v="10"/>
    <n v="0"/>
    <x v="525"/>
    <n v="366140.57"/>
    <x v="525"/>
    <s v="Achive"/>
  </r>
  <r>
    <n v="800306"/>
    <s v="25-01-2025"/>
    <x v="3"/>
    <s v="Rajasthan"/>
    <s v="Jodhpur"/>
    <s v="Authorized Dealer"/>
    <s v="Prerna Automobiles"/>
    <s v="Tata Motors"/>
    <s v="PV - ICE"/>
    <x v="10"/>
    <s v="Smart"/>
    <s v="Rohit Verma"/>
    <n v="2"/>
    <x v="8"/>
    <n v="958934.3"/>
    <n v="7.5"/>
    <n v="0"/>
    <x v="526"/>
    <n v="143840.14000000001"/>
    <x v="526"/>
    <s v="Not achive"/>
  </r>
  <r>
    <n v="800350"/>
    <s v="25-01-2025"/>
    <x v="0"/>
    <s v="West Bengal"/>
    <s v="Howrah"/>
    <s v="Online Booking"/>
    <s v="Big Wheels Auto"/>
    <s v="Tata Motors"/>
    <s v="PV - ICE"/>
    <x v="14"/>
    <s v="XT"/>
    <s v="Amit Sharma"/>
    <n v="3"/>
    <x v="12"/>
    <n v="630691.72"/>
    <n v="0"/>
    <n v="0"/>
    <x v="527"/>
    <n v="0"/>
    <x v="527"/>
    <s v="Not achive"/>
  </r>
  <r>
    <n v="800375"/>
    <s v="25-01-2025"/>
    <x v="2"/>
    <s v="Delhi"/>
    <s v="New Delhi"/>
    <s v="Online Booking"/>
    <s v="Reliance Trishakti"/>
    <s v="Tata Motors"/>
    <s v="PV - ICE"/>
    <x v="6"/>
    <s v="Creative+"/>
    <s v="Neha Singh"/>
    <n v="2"/>
    <x v="4"/>
    <n v="691679.44"/>
    <n v="0"/>
    <n v="0"/>
    <x v="528"/>
    <n v="0"/>
    <x v="528"/>
    <s v="Not achive"/>
  </r>
  <r>
    <n v="800529"/>
    <s v="25-01-2025"/>
    <x v="1"/>
    <s v="Karnataka"/>
    <s v="Hubli"/>
    <s v="Corporate/Fleet Sale"/>
    <s v="Prerna Automobiles"/>
    <s v="Tata Motors"/>
    <s v="PV - ICE"/>
    <x v="0"/>
    <s v="XE"/>
    <s v="Sneha Kapoor"/>
    <n v="1"/>
    <x v="0"/>
    <n v="741582.46"/>
    <n v="2"/>
    <n v="0"/>
    <x v="529"/>
    <n v="14831.65"/>
    <x v="529"/>
    <s v="Not achive"/>
  </r>
  <r>
    <n v="800002"/>
    <s v="27-01-2025"/>
    <x v="2"/>
    <s v="Delhi"/>
    <s v="New Delhi"/>
    <s v="Company Showroom"/>
    <s v="Om Sai Auto Hub"/>
    <s v="Tata Motors"/>
    <s v="PV - EV"/>
    <x v="12"/>
    <s v="XE"/>
    <s v="Divya Pillai"/>
    <n v="1"/>
    <x v="10"/>
    <n v="1257251.23"/>
    <n v="10"/>
    <n v="0"/>
    <x v="530"/>
    <n v="125725.12"/>
    <x v="530"/>
    <s v="Not achive"/>
  </r>
  <r>
    <n v="800230"/>
    <s v="27-01-2025"/>
    <x v="3"/>
    <s v="Gujarat"/>
    <s v="Vadodara"/>
    <s v="Online Booking"/>
    <s v="Sunrise Tata Showroom"/>
    <s v="Tata Motors"/>
    <s v="PV - ICE"/>
    <x v="10"/>
    <s v="Smart"/>
    <s v="Priya Nair"/>
    <n v="1"/>
    <x v="8"/>
    <n v="958342.5"/>
    <n v="2"/>
    <n v="0"/>
    <x v="531"/>
    <n v="19166.849999999999"/>
    <x v="531"/>
    <s v="Not achive"/>
  </r>
  <r>
    <n v="800187"/>
    <s v="28-01-2025"/>
    <x v="1"/>
    <s v="Kerala"/>
    <s v="Kochi"/>
    <s v="Corporate/Fleet Sale"/>
    <s v="Statesman Cars"/>
    <s v="Tata Motors"/>
    <s v="PV - ICE"/>
    <x v="7"/>
    <s v="Fearless+"/>
    <s v="Vikas Yadav"/>
    <n v="2"/>
    <x v="5"/>
    <n v="1674542.58"/>
    <n v="0"/>
    <n v="0"/>
    <x v="532"/>
    <n v="0"/>
    <x v="532"/>
    <s v="Achive"/>
  </r>
  <r>
    <n v="800367"/>
    <s v="28-01-2025"/>
    <x v="3"/>
    <s v="Gujarat"/>
    <s v="Ahmedabad"/>
    <s v="Authorized Dealer"/>
    <s v="Reliance Trishakti"/>
    <s v="Tata Motors"/>
    <s v="PV - ICE"/>
    <x v="6"/>
    <s v="Adventure"/>
    <s v="Neha Singh"/>
    <n v="3"/>
    <x v="4"/>
    <n v="682966.85"/>
    <n v="12.5"/>
    <n v="0"/>
    <x v="533"/>
    <n v="256112.57"/>
    <x v="533"/>
    <s v="Not achive"/>
  </r>
  <r>
    <n v="800455"/>
    <s v="28-01-2025"/>
    <x v="0"/>
    <s v="Bihar"/>
    <s v="Patna"/>
    <s v="Company Showroom"/>
    <s v="National Tata Dealership"/>
    <s v="Tata Motors"/>
    <s v="CV - Pickup"/>
    <x v="9"/>
    <s v="Base"/>
    <s v="Sneha Kapoor"/>
    <n v="4"/>
    <x v="7"/>
    <n v="986173.05"/>
    <n v="0"/>
    <n v="0"/>
    <x v="534"/>
    <n v="0"/>
    <x v="534"/>
    <s v="Achive"/>
  </r>
  <r>
    <n v="800619"/>
    <s v="28-01-2025"/>
    <x v="3"/>
    <s v="Gujarat"/>
    <s v="Vadodara"/>
    <s v="Company Showroom"/>
    <s v="Capital Cars"/>
    <s v="Tata Motors"/>
    <s v="PV - ICE"/>
    <x v="7"/>
    <s v="Smart"/>
    <s v="Neha Singh"/>
    <n v="1"/>
    <x v="5"/>
    <n v="1673163.91"/>
    <n v="0"/>
    <n v="0"/>
    <x v="535"/>
    <n v="0"/>
    <x v="535"/>
    <s v="Not achive"/>
  </r>
  <r>
    <n v="800515"/>
    <s v="29-01-2025"/>
    <x v="0"/>
    <s v="Bihar"/>
    <s v="Gaya"/>
    <s v="Online Booking"/>
    <s v="Concorde Tata"/>
    <s v="Tata Motors"/>
    <s v="CV - Pickup"/>
    <x v="9"/>
    <s v="CX"/>
    <s v="Vikas Yadav"/>
    <n v="2"/>
    <x v="7"/>
    <n v="971784.91"/>
    <n v="0"/>
    <n v="0"/>
    <x v="536"/>
    <n v="0"/>
    <x v="536"/>
    <s v="Not achive"/>
  </r>
  <r>
    <n v="800066"/>
    <s v="30-01-2025"/>
    <x v="3"/>
    <s v="Gujarat"/>
    <s v="Vadodara"/>
    <s v="Exchange Program"/>
    <s v="Prerna Automobiles"/>
    <s v="Tata Motors"/>
    <s v="PV - ICE"/>
    <x v="7"/>
    <s v="Smart"/>
    <s v="Rohit Verma"/>
    <n v="1"/>
    <x v="5"/>
    <n v="1655069.84"/>
    <n v="0"/>
    <n v="0"/>
    <x v="537"/>
    <n v="0"/>
    <x v="537"/>
    <s v="Not achive"/>
  </r>
  <r>
    <n v="800055"/>
    <s v="31-01-2025"/>
    <x v="0"/>
    <s v="West Bengal"/>
    <s v="Kolkata"/>
    <s v="Online Booking"/>
    <s v="Big Wheels Auto"/>
    <s v="Tata Motors"/>
    <s v="PV - ICE"/>
    <x v="4"/>
    <s v="XM"/>
    <s v="Vikas Yadav"/>
    <n v="2"/>
    <x v="2"/>
    <n v="807913.29"/>
    <n v="7.5"/>
    <n v="0"/>
    <x v="538"/>
    <n v="121186.99"/>
    <x v="538"/>
    <s v="Not achive"/>
  </r>
  <r>
    <n v="800611"/>
    <s v="31-01-2025"/>
    <x v="0"/>
    <s v="Bihar"/>
    <s v="Patna"/>
    <s v="Online Booking"/>
    <s v="Statesman Cars"/>
    <s v="Tata Motors"/>
    <s v="CV - Pickup"/>
    <x v="2"/>
    <s v="AC Cabin"/>
    <s v="Sneha Kapoor"/>
    <n v="6"/>
    <x v="2"/>
    <n v="784488.71"/>
    <n v="10"/>
    <n v="0"/>
    <x v="539"/>
    <n v="470693.23"/>
    <x v="539"/>
    <s v="Achive"/>
  </r>
  <r>
    <n v="800067"/>
    <s v="01-02-2025"/>
    <x v="1"/>
    <s v="Telangana"/>
    <s v="Hyderabad"/>
    <s v="Online Booking"/>
    <s v="Sai Service Tata"/>
    <s v="Tata Motors"/>
    <s v="PV - EV"/>
    <x v="5"/>
    <s v="Empowered"/>
    <s v="Sneha Kapoor"/>
    <n v="2"/>
    <x v="3"/>
    <n v="1194028.33"/>
    <n v="12.5"/>
    <n v="0"/>
    <x v="540"/>
    <n v="298507.08"/>
    <x v="540"/>
    <s v="Achive"/>
  </r>
  <r>
    <n v="800380"/>
    <s v="01-02-2025"/>
    <x v="0"/>
    <s v="Odisha"/>
    <s v="Bhubaneswar"/>
    <s v="Exchange Program"/>
    <s v="Landmark Motors"/>
    <s v="Tata Motors"/>
    <s v="CV - SCV"/>
    <x v="1"/>
    <s v="Base"/>
    <s v="Priya Nair"/>
    <n v="4"/>
    <x v="1"/>
    <n v="533794.54"/>
    <n v="5"/>
    <n v="0"/>
    <x v="541"/>
    <n v="106758.91"/>
    <x v="541"/>
    <s v="Achive"/>
  </r>
  <r>
    <n v="800554"/>
    <s v="01-02-2025"/>
    <x v="3"/>
    <s v="Rajasthan"/>
    <s v="Jodhpur"/>
    <s v="Online Booking"/>
    <s v="Capital Cars"/>
    <s v="Tata Motors"/>
    <s v="PV - EV"/>
    <x v="5"/>
    <s v="Smart"/>
    <s v="Sneha Kapoor"/>
    <n v="3"/>
    <x v="3"/>
    <n v="1217785.73"/>
    <n v="0"/>
    <n v="0"/>
    <x v="542"/>
    <n v="0"/>
    <x v="542"/>
    <s v="Achive"/>
  </r>
  <r>
    <n v="800561"/>
    <s v="01-02-2025"/>
    <x v="2"/>
    <s v="Haryana"/>
    <s v="Hisar"/>
    <s v="Exchange Program"/>
    <s v="Reliance Trishakti"/>
    <s v="Tata Motors"/>
    <s v="CV - Pickup"/>
    <x v="9"/>
    <s v="Base"/>
    <s v="Divya Pillai"/>
    <n v="2"/>
    <x v="7"/>
    <n v="1008322.12"/>
    <n v="0"/>
    <n v="0"/>
    <x v="543"/>
    <n v="0"/>
    <x v="543"/>
    <s v="Achive"/>
  </r>
  <r>
    <n v="800432"/>
    <s v="03-02-2025"/>
    <x v="0"/>
    <s v="Bihar"/>
    <s v="Patna"/>
    <s v="Corporate/Fleet Sale"/>
    <s v="Big Wheels Auto"/>
    <s v="Tata Motors"/>
    <s v="CV - Pickup"/>
    <x v="9"/>
    <s v="CX"/>
    <s v="Sneha Kapoor"/>
    <n v="1"/>
    <x v="7"/>
    <n v="1013489.33"/>
    <n v="2"/>
    <n v="0"/>
    <x v="544"/>
    <n v="20269.79"/>
    <x v="544"/>
    <s v="Not achive"/>
  </r>
  <r>
    <n v="800461"/>
    <s v="03-02-2025"/>
    <x v="1"/>
    <s v="Karnataka"/>
    <s v="Hubli"/>
    <s v="Company Showroom"/>
    <s v="Statesman Cars"/>
    <s v="Tata Motors"/>
    <s v="PV - ICE"/>
    <x v="14"/>
    <s v="XZ+"/>
    <s v="Neha Singh"/>
    <n v="1"/>
    <x v="12"/>
    <n v="635224.67000000004"/>
    <n v="0"/>
    <n v="0"/>
    <x v="545"/>
    <n v="0"/>
    <x v="545"/>
    <s v="Not achive"/>
  </r>
  <r>
    <n v="800126"/>
    <s v="04-02-2025"/>
    <x v="3"/>
    <s v="Gujarat"/>
    <s v="Ahmedabad"/>
    <s v="Exchange Program"/>
    <s v="Capital Cars"/>
    <s v="Tata Motors"/>
    <s v="PV - ICE"/>
    <x v="3"/>
    <s v="Creative"/>
    <s v="Sneha Kapoor"/>
    <n v="3"/>
    <x v="3"/>
    <n v="1195647.5900000001"/>
    <n v="0"/>
    <n v="0"/>
    <x v="546"/>
    <n v="0"/>
    <x v="546"/>
    <s v="Achive"/>
  </r>
  <r>
    <n v="800399"/>
    <s v="04-02-2025"/>
    <x v="0"/>
    <s v="Odisha"/>
    <s v="Bhubaneswar"/>
    <s v="Authorized Dealer"/>
    <s v="Concorde Tata"/>
    <s v="Tata Motors"/>
    <s v="PV - ICE"/>
    <x v="4"/>
    <s v="XM"/>
    <s v="Vikas Yadav"/>
    <n v="2"/>
    <x v="2"/>
    <n v="788675.13"/>
    <n v="5"/>
    <n v="0"/>
    <x v="547"/>
    <n v="78867.509999999995"/>
    <x v="547"/>
    <s v="Not achive"/>
  </r>
  <r>
    <n v="800449"/>
    <s v="04-02-2025"/>
    <x v="1"/>
    <s v="Karnataka"/>
    <s v="Bengaluru"/>
    <s v="Company Showroom"/>
    <s v="Prerna Automobiles"/>
    <s v="Tata Motors"/>
    <s v="PV - ICE"/>
    <x v="7"/>
    <s v="Smart"/>
    <s v="Neha Singh"/>
    <n v="1"/>
    <x v="5"/>
    <n v="1707492.01"/>
    <n v="12.5"/>
    <n v="0"/>
    <x v="548"/>
    <n v="213436.5"/>
    <x v="548"/>
    <s v="Not achive"/>
  </r>
  <r>
    <n v="800482"/>
    <s v="04-02-2025"/>
    <x v="0"/>
    <s v="West Bengal"/>
    <s v="Kolkata"/>
    <s v="Authorized Dealer"/>
    <s v="Capital Cars"/>
    <s v="Tata Motors"/>
    <s v="PV - ICE"/>
    <x v="0"/>
    <s v="XZ"/>
    <s v="Priya Nair"/>
    <n v="2"/>
    <x v="0"/>
    <n v="759216.23"/>
    <n v="5"/>
    <n v="0"/>
    <x v="549"/>
    <n v="75921.62"/>
    <x v="549"/>
    <s v="Not achive"/>
  </r>
  <r>
    <n v="800216"/>
    <s v="08-02-2025"/>
    <x v="0"/>
    <s v="Odisha"/>
    <s v="Cuttack"/>
    <s v="Corporate/Fleet Sale"/>
    <s v="Sai Service Tata"/>
    <s v="Tata Motors"/>
    <s v="CV - Pickup"/>
    <x v="9"/>
    <s v="Base"/>
    <s v="Amit Sharma"/>
    <n v="2"/>
    <x v="7"/>
    <n v="1002880.08"/>
    <n v="7.5"/>
    <n v="0"/>
    <x v="550"/>
    <n v="150432.01"/>
    <x v="550"/>
    <s v="Not achive"/>
  </r>
  <r>
    <n v="800276"/>
    <s v="08-02-2025"/>
    <x v="1"/>
    <s v="Karnataka"/>
    <s v="Hubli"/>
    <s v="Authorized Dealer"/>
    <s v="Sai Service Tata"/>
    <s v="Tata Motors"/>
    <s v="PV - EV"/>
    <x v="12"/>
    <s v="XZ+"/>
    <s v="Karan Mehta"/>
    <n v="1"/>
    <x v="10"/>
    <n v="1223880.1100000001"/>
    <n v="7.5"/>
    <n v="0"/>
    <x v="551"/>
    <n v="91791.01"/>
    <x v="551"/>
    <s v="Not achive"/>
  </r>
  <r>
    <n v="800524"/>
    <s v="08-02-2025"/>
    <x v="3"/>
    <s v="Rajasthan"/>
    <s v="Jodhpur"/>
    <s v="Exchange Program"/>
    <s v="Capital Cars"/>
    <s v="Tata Motors"/>
    <s v="PV - EV"/>
    <x v="8"/>
    <s v="Creative"/>
    <s v="Suresh Kumar"/>
    <n v="3"/>
    <x v="6"/>
    <n v="1506875.52"/>
    <n v="0"/>
    <n v="0"/>
    <x v="552"/>
    <n v="0"/>
    <x v="552"/>
    <s v="Achive"/>
  </r>
  <r>
    <n v="800204"/>
    <s v="09-02-2025"/>
    <x v="1"/>
    <s v="Telangana"/>
    <s v="Hyderabad"/>
    <s v="Authorized Dealer"/>
    <s v="Om Sai Auto Hub"/>
    <s v="Tata Motors"/>
    <s v="PV - ICE"/>
    <x v="13"/>
    <s v="Pure"/>
    <s v="Anjali Rao"/>
    <n v="1"/>
    <x v="11"/>
    <n v="1884523.38"/>
    <n v="0"/>
    <n v="0"/>
    <x v="553"/>
    <n v="0"/>
    <x v="553"/>
    <s v="Not achive"/>
  </r>
  <r>
    <n v="800361"/>
    <s v="09-02-2025"/>
    <x v="1"/>
    <s v="Karnataka"/>
    <s v="Mysuru"/>
    <s v="Exchange Program"/>
    <s v="Om Sai Auto Hub"/>
    <s v="Tata Motors"/>
    <s v="PV - ICE"/>
    <x v="0"/>
    <s v="XZ"/>
    <s v="Neha Singh"/>
    <n v="3"/>
    <x v="0"/>
    <n v="727897.19"/>
    <n v="2"/>
    <n v="0"/>
    <x v="554"/>
    <n v="43673.83"/>
    <x v="554"/>
    <s v="Achive"/>
  </r>
  <r>
    <n v="800624"/>
    <s v="09-02-2025"/>
    <x v="3"/>
    <s v="Gujarat"/>
    <s v="Surat"/>
    <s v="Online Booking"/>
    <s v="Capital Cars"/>
    <s v="Tata Motors"/>
    <s v="PV - EV"/>
    <x v="5"/>
    <s v="Empowered"/>
    <s v="Karan Mehta"/>
    <n v="2"/>
    <x v="3"/>
    <n v="1169413.3400000001"/>
    <n v="10"/>
    <n v="0"/>
    <x v="555"/>
    <n v="233882.67"/>
    <x v="555"/>
    <s v="Achive"/>
  </r>
  <r>
    <n v="800498"/>
    <s v="10-02-2025"/>
    <x v="2"/>
    <s v="Haryana"/>
    <s v="Gurugram"/>
    <s v="Corporate/Fleet Sale"/>
    <s v="Capital Cars"/>
    <s v="Tata Motors"/>
    <s v="PV - ICE"/>
    <x v="0"/>
    <s v="XE"/>
    <s v="Divya Pillai"/>
    <n v="1"/>
    <x v="0"/>
    <n v="759429.2"/>
    <n v="5"/>
    <n v="0"/>
    <x v="556"/>
    <n v="37971.46"/>
    <x v="556"/>
    <s v="Not achive"/>
  </r>
  <r>
    <n v="800197"/>
    <s v="11-02-2025"/>
    <x v="2"/>
    <s v="Delhi"/>
    <s v="Dwarka"/>
    <s v="Company Showroom"/>
    <s v="Reliance Trishakti"/>
    <s v="Tata Motors"/>
    <s v="PV - ICE"/>
    <x v="6"/>
    <s v="Pure"/>
    <s v="Suresh Kumar"/>
    <n v="1"/>
    <x v="4"/>
    <n v="686655.19"/>
    <n v="12.5"/>
    <n v="0"/>
    <x v="557"/>
    <n v="85831.9"/>
    <x v="557"/>
    <s v="Not achive"/>
  </r>
  <r>
    <n v="800290"/>
    <s v="14-02-2025"/>
    <x v="1"/>
    <s v="Tamil Nadu"/>
    <s v="Chennai"/>
    <s v="Online Booking"/>
    <s v="Om Sai Auto Hub"/>
    <s v="Tata Motors"/>
    <s v="PV - EV"/>
    <x v="8"/>
    <s v="Empowered"/>
    <s v="Neha Singh"/>
    <n v="2"/>
    <x v="6"/>
    <n v="1493976.61"/>
    <n v="0"/>
    <n v="0"/>
    <x v="558"/>
    <n v="0"/>
    <x v="558"/>
    <s v="Achive"/>
  </r>
  <r>
    <n v="800080"/>
    <s v="15-02-2025"/>
    <x v="2"/>
    <s v="Punjab"/>
    <s v="Ludhiana"/>
    <s v="Corporate/Fleet Sale"/>
    <s v="National Tata Dealership"/>
    <s v="Tata Motors"/>
    <s v="PV - ICE"/>
    <x v="13"/>
    <s v="Pure"/>
    <s v="Amit Sharma"/>
    <n v="2"/>
    <x v="11"/>
    <n v="1923972.43"/>
    <n v="10"/>
    <n v="0"/>
    <x v="559"/>
    <n v="384794.49"/>
    <x v="559"/>
    <s v="Achive"/>
  </r>
  <r>
    <n v="800342"/>
    <s v="15-02-2025"/>
    <x v="3"/>
    <s v="Maharashtra"/>
    <s v="Nashik"/>
    <s v="Corporate/Fleet Sale"/>
    <s v="Landmark Motors"/>
    <s v="Tata Motors"/>
    <s v="PV - ICE"/>
    <x v="10"/>
    <s v="Creative"/>
    <s v="Suresh Kumar"/>
    <n v="1"/>
    <x v="8"/>
    <n v="928800.91"/>
    <n v="7.5"/>
    <n v="0"/>
    <x v="560"/>
    <n v="69660.070000000007"/>
    <x v="560"/>
    <s v="Not achive"/>
  </r>
  <r>
    <n v="800591"/>
    <s v="15-02-2025"/>
    <x v="3"/>
    <s v="Rajasthan"/>
    <s v="Jodhpur"/>
    <s v="Company Showroom"/>
    <s v="Reliance Trishakti"/>
    <s v="Tata Motors"/>
    <s v="CV - Pickup"/>
    <x v="2"/>
    <s v="AC Cabin"/>
    <s v="Rohit Verma"/>
    <n v="6"/>
    <x v="2"/>
    <n v="797308.77"/>
    <n v="10"/>
    <n v="0"/>
    <x v="561"/>
    <n v="478385.26"/>
    <x v="561"/>
    <s v="Achive"/>
  </r>
  <r>
    <n v="800115"/>
    <s v="16-02-2025"/>
    <x v="1"/>
    <s v="Karnataka"/>
    <s v="Hubli"/>
    <s v="Authorized Dealer"/>
    <s v="Statesman Cars"/>
    <s v="Tata Motors"/>
    <s v="PV - EV"/>
    <x v="5"/>
    <s v="Smart"/>
    <s v="Suresh Kumar"/>
    <n v="3"/>
    <x v="3"/>
    <n v="1173172.19"/>
    <n v="0"/>
    <n v="0"/>
    <x v="562"/>
    <n v="0"/>
    <x v="562"/>
    <s v="Achive"/>
  </r>
  <r>
    <n v="800590"/>
    <s v="16-02-2025"/>
    <x v="1"/>
    <s v="Telangana"/>
    <s v="Warangal"/>
    <s v="Company Showroom"/>
    <s v="Metro Tata Motors"/>
    <s v="Tata Motors"/>
    <s v="PV - EV"/>
    <x v="8"/>
    <s v="Fearless"/>
    <s v="Karan Mehta"/>
    <n v="3"/>
    <x v="6"/>
    <n v="1488992.15"/>
    <n v="0"/>
    <n v="0"/>
    <x v="563"/>
    <n v="0"/>
    <x v="563"/>
    <s v="Achive"/>
  </r>
  <r>
    <n v="800359"/>
    <s v="18-02-2025"/>
    <x v="1"/>
    <s v="Karnataka"/>
    <s v="Bengaluru"/>
    <s v="Company Showroom"/>
    <s v="Sunrise Tata Showroom"/>
    <s v="Tata Motors"/>
    <s v="PV - ICE"/>
    <x v="13"/>
    <s v="Accomplished+"/>
    <s v="Amit Sharma"/>
    <n v="3"/>
    <x v="11"/>
    <n v="1850163"/>
    <n v="0"/>
    <n v="0"/>
    <x v="564"/>
    <n v="0"/>
    <x v="564"/>
    <s v="Achive"/>
  </r>
  <r>
    <n v="800530"/>
    <s v="18-02-2025"/>
    <x v="0"/>
    <s v="Bihar"/>
    <s v="Gaya"/>
    <s v="Company Showroom"/>
    <s v="Prerna Automobiles"/>
    <s v="Tata Motors"/>
    <s v="CV - Pickup"/>
    <x v="9"/>
    <s v="CX"/>
    <s v="Suresh Kumar"/>
    <n v="4"/>
    <x v="7"/>
    <n v="988674.25"/>
    <n v="12.5"/>
    <n v="0"/>
    <x v="565"/>
    <n v="494337.12"/>
    <x v="565"/>
    <s v="Achive"/>
  </r>
  <r>
    <n v="800601"/>
    <s v="18-02-2025"/>
    <x v="2"/>
    <s v="Punjab"/>
    <s v="Ludhiana"/>
    <s v="Corporate/Fleet Sale"/>
    <s v="Concorde Tata"/>
    <s v="Tata Motors"/>
    <s v="CV - Pickup"/>
    <x v="9"/>
    <s v="Base"/>
    <s v="Rohit Verma"/>
    <n v="2"/>
    <x v="7"/>
    <n v="1012970.84"/>
    <n v="0"/>
    <n v="0"/>
    <x v="566"/>
    <n v="0"/>
    <x v="566"/>
    <s v="Achive"/>
  </r>
  <r>
    <n v="800081"/>
    <s v="19-02-2025"/>
    <x v="0"/>
    <s v="Odisha"/>
    <s v="Cuttack"/>
    <s v="Exchange Program"/>
    <s v="Concorde Tata"/>
    <s v="Tata Motors"/>
    <s v="PV - ICE"/>
    <x v="6"/>
    <s v="Creative+"/>
    <s v="Rohit Verma"/>
    <n v="1"/>
    <x v="4"/>
    <n v="705136.82"/>
    <n v="10"/>
    <n v="0"/>
    <x v="567"/>
    <n v="70513.679999999993"/>
    <x v="567"/>
    <s v="Not achive"/>
  </r>
  <r>
    <n v="800378"/>
    <s v="20-02-2025"/>
    <x v="3"/>
    <s v="Maharashtra"/>
    <s v="Nagpur"/>
    <s v="Exchange Program"/>
    <s v="Metro Tata Motors"/>
    <s v="Tata Motors"/>
    <s v="CV - SCV"/>
    <x v="1"/>
    <s v="CNG"/>
    <s v="Divya Pillai"/>
    <n v="5"/>
    <x v="1"/>
    <n v="552669.07999999996"/>
    <n v="0"/>
    <n v="0"/>
    <x v="568"/>
    <n v="0"/>
    <x v="568"/>
    <s v="Achive"/>
  </r>
  <r>
    <n v="800587"/>
    <s v="20-02-2025"/>
    <x v="3"/>
    <s v="Gujarat"/>
    <s v="Surat"/>
    <s v="Exchange Program"/>
    <s v="Reliance Trishakti"/>
    <s v="Tata Motors"/>
    <s v="PV - ICE"/>
    <x v="10"/>
    <s v="Smart"/>
    <s v="Karan Mehta"/>
    <n v="2"/>
    <x v="8"/>
    <n v="938758.38"/>
    <n v="10"/>
    <n v="0"/>
    <x v="569"/>
    <n v="187751.67999999999"/>
    <x v="569"/>
    <s v="Not achive"/>
  </r>
  <r>
    <n v="800090"/>
    <s v="21-02-2025"/>
    <x v="0"/>
    <s v="Odisha"/>
    <s v="Bhubaneswar"/>
    <s v="Authorized Dealer"/>
    <s v="Metro Tata Motors"/>
    <s v="Tata Motors"/>
    <s v="PV - ICE"/>
    <x v="14"/>
    <s v="XT"/>
    <s v="Divya Pillai"/>
    <n v="1"/>
    <x v="12"/>
    <n v="645280.55000000005"/>
    <n v="5"/>
    <n v="0"/>
    <x v="570"/>
    <n v="32264.03"/>
    <x v="570"/>
    <s v="Not achive"/>
  </r>
  <r>
    <n v="800413"/>
    <s v="21-02-2025"/>
    <x v="3"/>
    <s v="Gujarat"/>
    <s v="Surat"/>
    <s v="Corporate/Fleet Sale"/>
    <s v="Big Wheels Auto"/>
    <s v="Tata Motors"/>
    <s v="PV - ICE"/>
    <x v="4"/>
    <s v="XZ+"/>
    <s v="Anjali Rao"/>
    <n v="3"/>
    <x v="2"/>
    <n v="813496.84"/>
    <n v="0"/>
    <n v="0"/>
    <x v="571"/>
    <n v="0"/>
    <x v="571"/>
    <s v="Achive"/>
  </r>
  <r>
    <n v="800503"/>
    <s v="21-02-2025"/>
    <x v="0"/>
    <s v="Bihar"/>
    <s v="Gaya"/>
    <s v="Online Booking"/>
    <s v="Metro Tata Motors"/>
    <s v="Tata Motors"/>
    <s v="PV - ICE"/>
    <x v="7"/>
    <s v="Pure"/>
    <s v="Divya Pillai"/>
    <n v="3"/>
    <x v="5"/>
    <n v="1730249.01"/>
    <n v="0"/>
    <n v="0"/>
    <x v="572"/>
    <n v="0"/>
    <x v="572"/>
    <s v="Achive"/>
  </r>
  <r>
    <n v="800506"/>
    <s v="21-02-2025"/>
    <x v="0"/>
    <s v="West Bengal"/>
    <s v="Kolkata"/>
    <s v="Corporate/Fleet Sale"/>
    <s v="Sunrise Tata Showroom"/>
    <s v="Tata Motors"/>
    <s v="PV - ICE"/>
    <x v="6"/>
    <s v="Pure"/>
    <s v="Anjali Rao"/>
    <n v="3"/>
    <x v="4"/>
    <n v="682217.94"/>
    <n v="2"/>
    <n v="0"/>
    <x v="573"/>
    <n v="40933.08"/>
    <x v="573"/>
    <s v="Achive"/>
  </r>
  <r>
    <n v="800006"/>
    <s v="22-02-2025"/>
    <x v="3"/>
    <s v="Rajasthan"/>
    <s v="Jodhpur"/>
    <s v="Authorized Dealer"/>
    <s v="National Tata Dealership"/>
    <s v="Tata Motors"/>
    <s v="PV - ICE"/>
    <x v="7"/>
    <s v="Smart"/>
    <s v="Divya Pillai"/>
    <n v="3"/>
    <x v="5"/>
    <n v="1669808.93"/>
    <n v="12.5"/>
    <n v="0"/>
    <x v="574"/>
    <n v="626178.35"/>
    <x v="574"/>
    <s v="Achive"/>
  </r>
  <r>
    <n v="800176"/>
    <s v="22-02-2025"/>
    <x v="3"/>
    <s v="Maharashtra"/>
    <s v="Nashik"/>
    <s v="Authorized Dealer"/>
    <s v="Capital Cars"/>
    <s v="Tata Motors"/>
    <s v="PV - EV"/>
    <x v="5"/>
    <s v="Smart"/>
    <s v="Sneha Kapoor"/>
    <n v="3"/>
    <x v="3"/>
    <n v="1194151.23"/>
    <n v="5"/>
    <n v="0"/>
    <x v="575"/>
    <n v="179122.68"/>
    <x v="575"/>
    <s v="Achive"/>
  </r>
  <r>
    <n v="800555"/>
    <s v="22-02-2025"/>
    <x v="2"/>
    <s v="Uttar Pradesh"/>
    <s v="Kanpur"/>
    <s v="Corporate/Fleet Sale"/>
    <s v="Capital Cars"/>
    <s v="Tata Motors"/>
    <s v="CV - Pickup"/>
    <x v="2"/>
    <s v="AC Cabin"/>
    <s v="Amit Sharma"/>
    <n v="5"/>
    <x v="2"/>
    <n v="806244.56"/>
    <n v="0"/>
    <n v="1"/>
    <x v="576"/>
    <n v="0"/>
    <x v="576"/>
    <s v="Achive"/>
  </r>
  <r>
    <n v="800557"/>
    <s v="22-02-2025"/>
    <x v="2"/>
    <s v="Haryana"/>
    <s v="Hisar"/>
    <s v="Online Booking"/>
    <s v="Om Sai Auto Hub"/>
    <s v="Tata Motors"/>
    <s v="PV - ICE"/>
    <x v="13"/>
    <s v="Pure"/>
    <s v="Vikas Yadav"/>
    <n v="1"/>
    <x v="11"/>
    <n v="1918165.86"/>
    <n v="0"/>
    <n v="0"/>
    <x v="577"/>
    <n v="0"/>
    <x v="577"/>
    <s v="Not achive"/>
  </r>
  <r>
    <n v="800150"/>
    <s v="23-02-2025"/>
    <x v="3"/>
    <s v="Maharashtra"/>
    <s v="Nashik"/>
    <s v="Exchange Program"/>
    <s v="Sai Service Tata"/>
    <s v="Tata Motors"/>
    <s v="CV - Pickup"/>
    <x v="9"/>
    <s v="CX"/>
    <s v="Karan Mehta"/>
    <n v="1"/>
    <x v="7"/>
    <n v="1011261.81"/>
    <n v="0"/>
    <n v="0"/>
    <x v="578"/>
    <n v="0"/>
    <x v="578"/>
    <s v="Not achive"/>
  </r>
  <r>
    <n v="800576"/>
    <s v="24-02-2025"/>
    <x v="1"/>
    <s v="Karnataka"/>
    <s v="Bengaluru"/>
    <s v="Online Booking"/>
    <s v="Concorde Tata"/>
    <s v="Tata Motors"/>
    <s v="PV - ICE"/>
    <x v="6"/>
    <s v="Adventure"/>
    <s v="Priya Nair"/>
    <n v="2"/>
    <x v="4"/>
    <n v="705768.6"/>
    <n v="5"/>
    <n v="0"/>
    <x v="579"/>
    <n v="70576.86"/>
    <x v="579"/>
    <s v="Not achive"/>
  </r>
  <r>
    <n v="800454"/>
    <s v="25-02-2025"/>
    <x v="0"/>
    <s v="West Bengal"/>
    <s v="Howrah"/>
    <s v="Online Booking"/>
    <s v="Statesman Cars"/>
    <s v="Tata Motors"/>
    <s v="PV - EV"/>
    <x v="8"/>
    <s v="Fearless"/>
    <s v="Karan Mehta"/>
    <n v="1"/>
    <x v="6"/>
    <n v="1506746.47"/>
    <n v="0"/>
    <n v="0"/>
    <x v="580"/>
    <n v="0"/>
    <x v="580"/>
    <s v="Not achive"/>
  </r>
  <r>
    <n v="800352"/>
    <s v="26-02-2025"/>
    <x v="2"/>
    <s v="Punjab"/>
    <s v="Amritsar"/>
    <s v="Exchange Program"/>
    <s v="Prerna Automobiles"/>
    <s v="Tata Motors"/>
    <s v="PV - ICE"/>
    <x v="4"/>
    <s v="XZ+"/>
    <s v="Sneha Kapoor"/>
    <n v="3"/>
    <x v="2"/>
    <n v="787799.14"/>
    <n v="0"/>
    <n v="0"/>
    <x v="581"/>
    <n v="0"/>
    <x v="581"/>
    <s v="Achive"/>
  </r>
  <r>
    <n v="800513"/>
    <s v="26-02-2025"/>
    <x v="0"/>
    <s v="Odisha"/>
    <s v="Bhubaneswar"/>
    <s v="Authorized Dealer"/>
    <s v="National Tata Dealership"/>
    <s v="Tata Motors"/>
    <s v="PV - EV"/>
    <x v="11"/>
    <s v="Accomplished"/>
    <s v="Neha Singh"/>
    <n v="3"/>
    <x v="9"/>
    <n v="1773254.53"/>
    <n v="0"/>
    <n v="0"/>
    <x v="582"/>
    <n v="0"/>
    <x v="582"/>
    <s v="Achive"/>
  </r>
  <r>
    <n v="800584"/>
    <s v="26-02-2025"/>
    <x v="1"/>
    <s v="Tamil Nadu"/>
    <s v="Coimbatore"/>
    <s v="Online Booking"/>
    <s v="Concorde Tata"/>
    <s v="Tata Motors"/>
    <s v="PV - EV"/>
    <x v="8"/>
    <s v="Fearless"/>
    <s v="Neha Singh"/>
    <n v="2"/>
    <x v="6"/>
    <n v="1481345.19"/>
    <n v="2"/>
    <n v="0"/>
    <x v="583"/>
    <n v="59253.81"/>
    <x v="583"/>
    <s v="Achive"/>
  </r>
  <r>
    <n v="800606"/>
    <s v="26-02-2025"/>
    <x v="2"/>
    <s v="Punjab"/>
    <s v="Ludhiana"/>
    <s v="Company Showroom"/>
    <s v="Metro Tata Motors"/>
    <s v="Tata Motors"/>
    <s v="CV - Pickup"/>
    <x v="9"/>
    <s v="CX"/>
    <s v="Karan Mehta"/>
    <n v="2"/>
    <x v="7"/>
    <n v="971036.73"/>
    <n v="0"/>
    <n v="0"/>
    <x v="584"/>
    <n v="0"/>
    <x v="584"/>
    <s v="Not achive"/>
  </r>
  <r>
    <n v="800200"/>
    <s v="27-02-2025"/>
    <x v="0"/>
    <s v="Bihar"/>
    <s v="Gaya"/>
    <s v="Online Booking"/>
    <s v="Capital Cars"/>
    <s v="Tata Motors"/>
    <s v="PV - EV"/>
    <x v="12"/>
    <s v="XE"/>
    <s v="Vikas Yadav"/>
    <n v="2"/>
    <x v="10"/>
    <n v="1255252.6000000001"/>
    <n v="0"/>
    <n v="0"/>
    <x v="585"/>
    <n v="0"/>
    <x v="585"/>
    <s v="Achive"/>
  </r>
  <r>
    <n v="800322"/>
    <s v="27-02-2025"/>
    <x v="1"/>
    <s v="Kerala"/>
    <s v="Kochi"/>
    <s v="Authorized Dealer"/>
    <s v="Metro Tata Motors"/>
    <s v="Tata Motors"/>
    <s v="PV - EV"/>
    <x v="8"/>
    <s v="Fearless"/>
    <s v="Rohit Verma"/>
    <n v="2"/>
    <x v="6"/>
    <n v="1506742.68"/>
    <n v="12.5"/>
    <n v="0"/>
    <x v="586"/>
    <n v="376685.67"/>
    <x v="586"/>
    <s v="Achive"/>
  </r>
  <r>
    <n v="800344"/>
    <s v="27-02-2025"/>
    <x v="0"/>
    <s v="Bihar"/>
    <s v="Gaya"/>
    <s v="Company Showroom"/>
    <s v="Prerna Automobiles"/>
    <s v="Tata Motors"/>
    <s v="PV - ICE"/>
    <x v="7"/>
    <s v="Pure"/>
    <s v="Neha Singh"/>
    <n v="2"/>
    <x v="5"/>
    <n v="1673953.82"/>
    <n v="12.5"/>
    <n v="0"/>
    <x v="587"/>
    <n v="418488.46"/>
    <x v="587"/>
    <s v="Achive"/>
  </r>
  <r>
    <n v="800518"/>
    <s v="27-02-2025"/>
    <x v="3"/>
    <s v="Rajasthan"/>
    <s v="Jaipur"/>
    <s v="Authorized Dealer"/>
    <s v="Landmark Motors"/>
    <s v="Tata Motors"/>
    <s v="PV - ICE"/>
    <x v="13"/>
    <s v="Smart"/>
    <s v="Priya Nair"/>
    <n v="3"/>
    <x v="11"/>
    <n v="1844810.99"/>
    <n v="0"/>
    <n v="0"/>
    <x v="588"/>
    <n v="0"/>
    <x v="588"/>
    <s v="Achive"/>
  </r>
  <r>
    <n v="800648"/>
    <s v="27-02-2025"/>
    <x v="1"/>
    <s v="Kerala"/>
    <s v="Thiruvananthapuram"/>
    <s v="Authorized Dealer"/>
    <s v="Sunrise Tata Showroom"/>
    <s v="Tata Motors"/>
    <s v="CV - Pickup"/>
    <x v="9"/>
    <s v="Base"/>
    <s v="Sneha Kapoor"/>
    <n v="4"/>
    <x v="7"/>
    <n v="1002193.97"/>
    <n v="12.5"/>
    <n v="0"/>
    <x v="589"/>
    <n v="501096.98"/>
    <x v="589"/>
    <s v="Achive"/>
  </r>
  <r>
    <n v="800346"/>
    <s v="28-02-2025"/>
    <x v="0"/>
    <s v="West Bengal"/>
    <s v="Howrah"/>
    <s v="Authorized Dealer"/>
    <s v="Om Sai Auto Hub"/>
    <s v="Tata Motors"/>
    <s v="CV - Pickup"/>
    <x v="2"/>
    <s v="AC Cabin"/>
    <s v="Divya Pillai"/>
    <n v="5"/>
    <x v="2"/>
    <n v="793822.28"/>
    <n v="0"/>
    <n v="0"/>
    <x v="590"/>
    <n v="0"/>
    <x v="590"/>
    <s v="Achive"/>
  </r>
  <r>
    <n v="800435"/>
    <s v="28-02-2025"/>
    <x v="0"/>
    <s v="West Bengal"/>
    <s v="Kolkata"/>
    <s v="Online Booking"/>
    <s v="Om Sai Auto Hub"/>
    <s v="Tata Motors"/>
    <s v="PV - EV"/>
    <x v="8"/>
    <s v="Empowered"/>
    <s v="Suresh Kumar"/>
    <n v="1"/>
    <x v="6"/>
    <n v="1491069.19"/>
    <n v="2"/>
    <n v="0"/>
    <x v="591"/>
    <n v="29821.38"/>
    <x v="591"/>
    <s v="Not achive"/>
  </r>
  <r>
    <n v="800026"/>
    <s v="01-03-2025"/>
    <x v="1"/>
    <s v="Karnataka"/>
    <s v="Mysuru"/>
    <s v="Authorized Dealer"/>
    <s v="Prerna Automobiles"/>
    <s v="Tata Motors"/>
    <s v="PV - ICE"/>
    <x v="10"/>
    <s v="Creative"/>
    <s v="Suresh Kumar"/>
    <n v="2"/>
    <x v="8"/>
    <n v="961102.89"/>
    <n v="5"/>
    <n v="0"/>
    <x v="592"/>
    <n v="96110.29"/>
    <x v="592"/>
    <s v="Not achive"/>
  </r>
  <r>
    <n v="800229"/>
    <s v="01-03-2025"/>
    <x v="2"/>
    <s v="Haryana"/>
    <s v="Hisar"/>
    <s v="Exchange Program"/>
    <s v="Landmark Motors"/>
    <s v="Tata Motors"/>
    <s v="CV - SCV"/>
    <x v="1"/>
    <s v="CNG"/>
    <s v="Divya Pillai"/>
    <n v="2"/>
    <x v="1"/>
    <n v="560718.82999999996"/>
    <n v="0"/>
    <n v="0"/>
    <x v="593"/>
    <n v="0"/>
    <x v="593"/>
    <s v="Not achive"/>
  </r>
  <r>
    <n v="800314"/>
    <s v="01-03-2025"/>
    <x v="3"/>
    <s v="Maharashtra"/>
    <s v="Pune"/>
    <s v="Authorized Dealer"/>
    <s v="Metro Tata Motors"/>
    <s v="Tata Motors"/>
    <s v="CV - Pickup"/>
    <x v="9"/>
    <s v="CX"/>
    <s v="Divya Pillai"/>
    <n v="5"/>
    <x v="7"/>
    <n v="972429.35"/>
    <n v="0"/>
    <n v="0"/>
    <x v="594"/>
    <n v="0"/>
    <x v="594"/>
    <s v="Achive"/>
  </r>
  <r>
    <n v="800121"/>
    <s v="02-03-2025"/>
    <x v="0"/>
    <s v="West Bengal"/>
    <s v="Howrah"/>
    <s v="Exchange Program"/>
    <s v="Statesman Cars"/>
    <s v="Tata Motors"/>
    <s v="PV - ICE"/>
    <x v="10"/>
    <s v="Smart"/>
    <s v="Karan Mehta"/>
    <n v="3"/>
    <x v="8"/>
    <n v="928217.85"/>
    <n v="7.5"/>
    <n v="0"/>
    <x v="595"/>
    <n v="208849.02"/>
    <x v="595"/>
    <s v="Achive"/>
  </r>
  <r>
    <n v="800303"/>
    <s v="02-03-2025"/>
    <x v="1"/>
    <s v="Karnataka"/>
    <s v="Hubli"/>
    <s v="Exchange Program"/>
    <s v="Prerna Automobiles"/>
    <s v="Tata Motors"/>
    <s v="CV - Pickup"/>
    <x v="9"/>
    <s v="Base"/>
    <s v="Karan Mehta"/>
    <n v="4"/>
    <x v="7"/>
    <n v="1003026.52"/>
    <n v="0"/>
    <n v="0"/>
    <x v="596"/>
    <n v="0"/>
    <x v="596"/>
    <s v="Achive"/>
  </r>
  <r>
    <n v="800105"/>
    <s v="03-03-2025"/>
    <x v="2"/>
    <s v="Haryana"/>
    <s v="Hisar"/>
    <s v="Authorized Dealer"/>
    <s v="Sunrise Tata Showroom"/>
    <s v="Tata Motors"/>
    <s v="PV - EV"/>
    <x v="12"/>
    <s v="XE"/>
    <s v="Sneha Kapoor"/>
    <n v="3"/>
    <x v="10"/>
    <n v="1273409.1599999999"/>
    <n v="0"/>
    <n v="0"/>
    <x v="597"/>
    <n v="0"/>
    <x v="597"/>
    <s v="Achive"/>
  </r>
  <r>
    <n v="800333"/>
    <s v="03-03-2025"/>
    <x v="2"/>
    <s v="Punjab"/>
    <s v="Jalandhar"/>
    <s v="Online Booking"/>
    <s v="Om Sai Auto Hub"/>
    <s v="Tata Motors"/>
    <s v="CV - SCV"/>
    <x v="1"/>
    <s v="Base"/>
    <s v="Karan Mehta"/>
    <n v="2"/>
    <x v="1"/>
    <n v="553588.6"/>
    <n v="0"/>
    <n v="0"/>
    <x v="598"/>
    <n v="0"/>
    <x v="598"/>
    <s v="Not achive"/>
  </r>
  <r>
    <n v="800637"/>
    <s v="03-03-2025"/>
    <x v="2"/>
    <s v="Uttar Pradesh"/>
    <s v="Agra"/>
    <s v="Company Showroom"/>
    <s v="Capital Cars"/>
    <s v="Tata Motors"/>
    <s v="PV - ICE"/>
    <x v="10"/>
    <s v="Creative"/>
    <s v="Vikas Yadav"/>
    <n v="3"/>
    <x v="8"/>
    <n v="931935.86"/>
    <n v="7.5"/>
    <n v="0"/>
    <x v="599"/>
    <n v="209685.57"/>
    <x v="599"/>
    <s v="Achive"/>
  </r>
  <r>
    <n v="800475"/>
    <s v="04-03-2025"/>
    <x v="0"/>
    <s v="West Bengal"/>
    <s v="Kolkata"/>
    <s v="Authorized Dealer"/>
    <s v="Sunrise Tata Showroom"/>
    <s v="Tata Motors"/>
    <s v="CV - Pickup"/>
    <x v="9"/>
    <s v="Base"/>
    <s v="Karan Mehta"/>
    <n v="1"/>
    <x v="7"/>
    <n v="986664.49"/>
    <n v="0"/>
    <n v="0"/>
    <x v="600"/>
    <n v="0"/>
    <x v="600"/>
    <s v="Not achive"/>
  </r>
  <r>
    <n v="800283"/>
    <s v="05-03-2025"/>
    <x v="3"/>
    <s v="Maharashtra"/>
    <s v="Nagpur"/>
    <s v="Online Booking"/>
    <s v="National Tata Dealership"/>
    <s v="Tata Motors"/>
    <s v="PV - EV"/>
    <x v="11"/>
    <s v="Accomplished"/>
    <s v="Suresh Kumar"/>
    <n v="1"/>
    <x v="9"/>
    <n v="1778474.6"/>
    <n v="10"/>
    <n v="0"/>
    <x v="601"/>
    <n v="177847.46"/>
    <x v="601"/>
    <s v="Not achive"/>
  </r>
  <r>
    <n v="800351"/>
    <s v="05-03-2025"/>
    <x v="2"/>
    <s v="Delhi"/>
    <s v="Dwarka"/>
    <s v="Exchange Program"/>
    <s v="Concorde Tata"/>
    <s v="Tata Motors"/>
    <s v="PV - EV"/>
    <x v="5"/>
    <s v="Empowered"/>
    <s v="Rohit Verma"/>
    <n v="3"/>
    <x v="3"/>
    <n v="1169190.31"/>
    <n v="12.5"/>
    <n v="0"/>
    <x v="602"/>
    <n v="438446.37"/>
    <x v="602"/>
    <s v="Achive"/>
  </r>
  <r>
    <n v="800441"/>
    <s v="05-03-2025"/>
    <x v="2"/>
    <s v="Haryana"/>
    <s v="Faridabad"/>
    <s v="Authorized Dealer"/>
    <s v="Sunrise Tata Showroom"/>
    <s v="Tata Motors"/>
    <s v="PV - ICE"/>
    <x v="6"/>
    <s v="Creative+"/>
    <s v="Karan Mehta"/>
    <n v="2"/>
    <x v="4"/>
    <n v="680857.98"/>
    <n v="0"/>
    <n v="0"/>
    <x v="603"/>
    <n v="0"/>
    <x v="603"/>
    <s v="Not achive"/>
  </r>
  <r>
    <n v="800627"/>
    <s v="05-03-2025"/>
    <x v="0"/>
    <s v="West Bengal"/>
    <s v="Kolkata"/>
    <s v="Exchange Program"/>
    <s v="Concorde Tata"/>
    <s v="Tata Motors"/>
    <s v="CV - Pickup"/>
    <x v="9"/>
    <s v="Base"/>
    <s v="Divya Pillai"/>
    <n v="1"/>
    <x v="7"/>
    <n v="995532.58"/>
    <n v="10"/>
    <n v="0"/>
    <x v="604"/>
    <n v="99553.26"/>
    <x v="604"/>
    <s v="Not achive"/>
  </r>
  <r>
    <n v="800038"/>
    <s v="06-03-2025"/>
    <x v="1"/>
    <s v="Telangana"/>
    <s v="Warangal"/>
    <s v="Online Booking"/>
    <s v="Reliance Trishakti"/>
    <s v="Tata Motors"/>
    <s v="PV - ICE"/>
    <x v="6"/>
    <s v="Creative+"/>
    <s v="Priya Nair"/>
    <n v="3"/>
    <x v="4"/>
    <n v="684939.2"/>
    <n v="0"/>
    <n v="0"/>
    <x v="605"/>
    <n v="0"/>
    <x v="605"/>
    <s v="Achive"/>
  </r>
  <r>
    <n v="800325"/>
    <s v="06-03-2025"/>
    <x v="3"/>
    <s v="Rajasthan"/>
    <s v="Jodhpur"/>
    <s v="Exchange Program"/>
    <s v="Om Sai Auto Hub"/>
    <s v="Tata Motors"/>
    <s v="PV - ICE"/>
    <x v="13"/>
    <s v="Accomplished+"/>
    <s v="Karan Mehta"/>
    <n v="1"/>
    <x v="11"/>
    <n v="1884120.55"/>
    <n v="2"/>
    <n v="0"/>
    <x v="606"/>
    <n v="37682.410000000003"/>
    <x v="606"/>
    <s v="Not achive"/>
  </r>
  <r>
    <n v="800440"/>
    <s v="06-03-2025"/>
    <x v="3"/>
    <s v="Maharashtra"/>
    <s v="Nashik"/>
    <s v="Exchange Program"/>
    <s v="Sunrise Tata Showroom"/>
    <s v="Tata Motors"/>
    <s v="PV - EV"/>
    <x v="11"/>
    <s v="Accomplished"/>
    <s v="Karan Mehta"/>
    <n v="3"/>
    <x v="9"/>
    <n v="1835307.19"/>
    <n v="0"/>
    <n v="0"/>
    <x v="607"/>
    <n v="0"/>
    <x v="607"/>
    <s v="Achive"/>
  </r>
  <r>
    <n v="800599"/>
    <s v="06-03-2025"/>
    <x v="3"/>
    <s v="Gujarat"/>
    <s v="Vadodara"/>
    <s v="Corporate/Fleet Sale"/>
    <s v="Capital Cars"/>
    <s v="Tata Motors"/>
    <s v="PV - ICE"/>
    <x v="13"/>
    <s v="Pure"/>
    <s v="Rohit Verma"/>
    <n v="1"/>
    <x v="11"/>
    <n v="1904312.77"/>
    <n v="0"/>
    <n v="0"/>
    <x v="608"/>
    <n v="0"/>
    <x v="608"/>
    <s v="Not achive"/>
  </r>
  <r>
    <n v="800354"/>
    <s v="10-03-2025"/>
    <x v="3"/>
    <s v="Gujarat"/>
    <s v="Ahmedabad"/>
    <s v="Exchange Program"/>
    <s v="Statesman Cars"/>
    <s v="Tata Motors"/>
    <s v="PV - ICE"/>
    <x v="4"/>
    <s v="XE"/>
    <s v="Vikas Yadav"/>
    <n v="3"/>
    <x v="2"/>
    <n v="809389.93"/>
    <n v="2"/>
    <n v="0"/>
    <x v="609"/>
    <n v="48563.4"/>
    <x v="609"/>
    <s v="Achive"/>
  </r>
  <r>
    <n v="800068"/>
    <s v="11-03-2025"/>
    <x v="2"/>
    <s v="Punjab"/>
    <s v="Jalandhar"/>
    <s v="Corporate/Fleet Sale"/>
    <s v="National Tata Dealership"/>
    <s v="Tata Motors"/>
    <s v="PV - EV"/>
    <x v="5"/>
    <s v="Smart"/>
    <s v="Amit Sharma"/>
    <n v="1"/>
    <x v="3"/>
    <n v="1221714.67"/>
    <n v="0"/>
    <n v="0"/>
    <x v="610"/>
    <n v="0"/>
    <x v="610"/>
    <s v="Not achive"/>
  </r>
  <r>
    <n v="800397"/>
    <s v="11-03-2025"/>
    <x v="2"/>
    <s v="Haryana"/>
    <s v="Faridabad"/>
    <s v="Exchange Program"/>
    <s v="National Tata Dealership"/>
    <s v="Tata Motors"/>
    <s v="PV - ICE"/>
    <x v="7"/>
    <s v="Fearless+"/>
    <s v="Divya Pillai"/>
    <n v="1"/>
    <x v="5"/>
    <n v="1732246.72"/>
    <n v="5"/>
    <n v="0"/>
    <x v="611"/>
    <n v="86612.34"/>
    <x v="611"/>
    <s v="Not achive"/>
  </r>
  <r>
    <n v="800433"/>
    <s v="11-03-2025"/>
    <x v="2"/>
    <s v="Punjab"/>
    <s v="Amritsar"/>
    <s v="Corporate/Fleet Sale"/>
    <s v="Om Sai Auto Hub"/>
    <s v="Tata Motors"/>
    <s v="PV - ICE"/>
    <x v="14"/>
    <s v="XT"/>
    <s v="Divya Pillai"/>
    <n v="3"/>
    <x v="12"/>
    <n v="635361.35"/>
    <n v="2"/>
    <n v="0"/>
    <x v="612"/>
    <n v="38121.68"/>
    <x v="612"/>
    <s v="Not achive"/>
  </r>
  <r>
    <n v="800338"/>
    <s v="12-03-2025"/>
    <x v="1"/>
    <s v="Kerala"/>
    <s v="Kochi"/>
    <s v="Authorized Dealer"/>
    <s v="Sai Service Tata"/>
    <s v="Tata Motors"/>
    <s v="CV - SCV"/>
    <x v="1"/>
    <s v="CNG"/>
    <s v="Vikas Yadav"/>
    <n v="5"/>
    <x v="1"/>
    <n v="534388.43000000005"/>
    <n v="12.5"/>
    <n v="0"/>
    <x v="613"/>
    <n v="333992.77"/>
    <x v="613"/>
    <s v="Achive"/>
  </r>
  <r>
    <n v="800478"/>
    <s v="12-03-2025"/>
    <x v="1"/>
    <s v="Karnataka"/>
    <s v="Hubli"/>
    <s v="Authorized Dealer"/>
    <s v="Sunrise Tata Showroom"/>
    <s v="Tata Motors"/>
    <s v="PV - EV"/>
    <x v="12"/>
    <s v="XZ+"/>
    <s v="Divya Pillai"/>
    <n v="2"/>
    <x v="10"/>
    <n v="1215670.3899999999"/>
    <n v="0"/>
    <n v="0"/>
    <x v="614"/>
    <n v="0"/>
    <x v="614"/>
    <s v="Achive"/>
  </r>
  <r>
    <n v="800528"/>
    <s v="13-03-2025"/>
    <x v="3"/>
    <s v="Maharashtra"/>
    <s v="Nagpur"/>
    <s v="Online Booking"/>
    <s v="Om Sai Auto Hub"/>
    <s v="Tata Motors"/>
    <s v="PV - ICE"/>
    <x v="0"/>
    <s v="XE"/>
    <s v="Vikas Yadav"/>
    <n v="3"/>
    <x v="0"/>
    <n v="744180.78"/>
    <n v="7.5"/>
    <n v="0"/>
    <x v="615"/>
    <n v="167440.68"/>
    <x v="615"/>
    <s v="Achive"/>
  </r>
  <r>
    <n v="800574"/>
    <s v="13-03-2025"/>
    <x v="3"/>
    <s v="Maharashtra"/>
    <s v="Pune"/>
    <s v="Corporate/Fleet Sale"/>
    <s v="Statesman Cars"/>
    <s v="Tata Motors"/>
    <s v="PV - ICE"/>
    <x v="14"/>
    <s v="XZ+"/>
    <s v="Priya Nair"/>
    <n v="3"/>
    <x v="12"/>
    <n v="633918.09"/>
    <n v="12.5"/>
    <n v="0"/>
    <x v="616"/>
    <n v="237719.28"/>
    <x v="616"/>
    <s v="Not achive"/>
  </r>
  <r>
    <n v="800324"/>
    <s v="14-03-2025"/>
    <x v="1"/>
    <s v="Tamil Nadu"/>
    <s v="Chennai"/>
    <s v="Online Booking"/>
    <s v="Capital Cars"/>
    <s v="Tata Motors"/>
    <s v="PV - ICE"/>
    <x v="0"/>
    <s v="XZ"/>
    <s v="Priya Nair"/>
    <n v="1"/>
    <x v="0"/>
    <n v="729875.1"/>
    <n v="7.5"/>
    <n v="0"/>
    <x v="617"/>
    <n v="54740.63"/>
    <x v="617"/>
    <s v="Not achive"/>
  </r>
  <r>
    <n v="800578"/>
    <s v="14-03-2025"/>
    <x v="0"/>
    <s v="Bihar"/>
    <s v="Patna"/>
    <s v="Authorized Dealer"/>
    <s v="Concorde Tata"/>
    <s v="Tata Motors"/>
    <s v="PV - ICE"/>
    <x v="13"/>
    <s v="Smart"/>
    <s v="Amit Sharma"/>
    <n v="2"/>
    <x v="11"/>
    <n v="1907420.21"/>
    <n v="0"/>
    <n v="0"/>
    <x v="618"/>
    <n v="0"/>
    <x v="618"/>
    <s v="Achive"/>
  </r>
  <r>
    <n v="800292"/>
    <s v="15-03-2025"/>
    <x v="0"/>
    <s v="West Bengal"/>
    <s v="Howrah"/>
    <s v="Online Booking"/>
    <s v="National Tata Dealership"/>
    <s v="Tata Motors"/>
    <s v="PV - EV"/>
    <x v="12"/>
    <s v="XZ+"/>
    <s v="Anjali Rao"/>
    <n v="1"/>
    <x v="10"/>
    <n v="1229713.3799999999"/>
    <n v="0"/>
    <n v="0"/>
    <x v="619"/>
    <n v="0"/>
    <x v="619"/>
    <s v="Not achive"/>
  </r>
  <r>
    <n v="800647"/>
    <s v="15-03-2025"/>
    <x v="0"/>
    <s v="Bihar"/>
    <s v="Gaya"/>
    <s v="Authorized Dealer"/>
    <s v="Reliance Trishakti"/>
    <s v="Tata Motors"/>
    <s v="CV - Pickup"/>
    <x v="9"/>
    <s v="Base"/>
    <s v="Karan Mehta"/>
    <n v="1"/>
    <x v="7"/>
    <n v="1018886.65"/>
    <n v="5"/>
    <n v="0"/>
    <x v="620"/>
    <n v="50944.33"/>
    <x v="620"/>
    <s v="Not achive"/>
  </r>
  <r>
    <n v="800245"/>
    <s v="16-03-2025"/>
    <x v="3"/>
    <s v="Gujarat"/>
    <s v="Ahmedabad"/>
    <s v="Exchange Program"/>
    <s v="Concorde Tata"/>
    <s v="Tata Motors"/>
    <s v="PV - EV"/>
    <x v="11"/>
    <s v="Creative"/>
    <s v="Neha Singh"/>
    <n v="2"/>
    <x v="9"/>
    <n v="1757878.46"/>
    <n v="10"/>
    <n v="0"/>
    <x v="621"/>
    <n v="351575.69"/>
    <x v="621"/>
    <s v="Achive"/>
  </r>
  <r>
    <n v="800299"/>
    <s v="16-03-2025"/>
    <x v="2"/>
    <s v="Uttar Pradesh"/>
    <s v="Kanpur"/>
    <s v="Company Showroom"/>
    <s v="Reliance Trishakti"/>
    <s v="Tata Motors"/>
    <s v="PV - ICE"/>
    <x v="6"/>
    <s v="Creative+"/>
    <s v="Vikas Yadav"/>
    <n v="2"/>
    <x v="4"/>
    <n v="701805.56"/>
    <n v="0"/>
    <n v="0"/>
    <x v="622"/>
    <n v="0"/>
    <x v="622"/>
    <s v="Not achive"/>
  </r>
  <r>
    <n v="800543"/>
    <s v="16-03-2025"/>
    <x v="2"/>
    <s v="Uttar Pradesh"/>
    <s v="Agra"/>
    <s v="Authorized Dealer"/>
    <s v="Sai Service Tata"/>
    <s v="Tata Motors"/>
    <s v="PV - ICE"/>
    <x v="4"/>
    <s v="XM"/>
    <s v="Suresh Kumar"/>
    <n v="1"/>
    <x v="2"/>
    <n v="796827.51"/>
    <n v="0"/>
    <n v="0"/>
    <x v="623"/>
    <n v="0"/>
    <x v="623"/>
    <s v="Not achive"/>
  </r>
  <r>
    <n v="800151"/>
    <s v="17-03-2025"/>
    <x v="1"/>
    <s v="Karnataka"/>
    <s v="Bengaluru"/>
    <s v="Online Booking"/>
    <s v="National Tata Dealership"/>
    <s v="Tata Motors"/>
    <s v="PV - ICE"/>
    <x v="7"/>
    <s v="Smart"/>
    <s v="Priya Nair"/>
    <n v="3"/>
    <x v="5"/>
    <n v="1695374.09"/>
    <n v="5"/>
    <n v="0"/>
    <x v="624"/>
    <n v="254306.11"/>
    <x v="624"/>
    <s v="Achive"/>
  </r>
  <r>
    <n v="800505"/>
    <s v="17-03-2025"/>
    <x v="3"/>
    <s v="Rajasthan"/>
    <s v="Jodhpur"/>
    <s v="Company Showroom"/>
    <s v="Big Wheels Auto"/>
    <s v="Tata Motors"/>
    <s v="PV - EV"/>
    <x v="11"/>
    <s v="Creative"/>
    <s v="Anjali Rao"/>
    <n v="1"/>
    <x v="9"/>
    <n v="1747076.53"/>
    <n v="0"/>
    <n v="0"/>
    <x v="625"/>
    <n v="0"/>
    <x v="625"/>
    <s v="Not achive"/>
  </r>
  <r>
    <n v="800520"/>
    <s v="17-03-2025"/>
    <x v="2"/>
    <s v="Punjab"/>
    <s v="Jalandhar"/>
    <s v="Exchange Program"/>
    <s v="Prerna Automobiles"/>
    <s v="Tata Motors"/>
    <s v="PV - ICE"/>
    <x v="0"/>
    <s v="XE"/>
    <s v="Sneha Kapoor"/>
    <n v="2"/>
    <x v="0"/>
    <n v="757932.04"/>
    <n v="10"/>
    <n v="0"/>
    <x v="626"/>
    <n v="151586.41"/>
    <x v="626"/>
    <s v="Not achive"/>
  </r>
  <r>
    <n v="800610"/>
    <s v="17-03-2025"/>
    <x v="0"/>
    <s v="Bihar"/>
    <s v="Gaya"/>
    <s v="Company Showroom"/>
    <s v="Landmark Motors"/>
    <s v="Tata Motors"/>
    <s v="PV - EV"/>
    <x v="5"/>
    <s v="Adventure"/>
    <s v="Vikas Yadav"/>
    <n v="3"/>
    <x v="3"/>
    <n v="1191058.6000000001"/>
    <n v="2"/>
    <n v="0"/>
    <x v="627"/>
    <n v="71463.520000000004"/>
    <x v="627"/>
    <s v="Achive"/>
  </r>
  <r>
    <n v="800315"/>
    <s v="18-03-2025"/>
    <x v="2"/>
    <s v="Delhi"/>
    <s v="New Delhi"/>
    <s v="Online Booking"/>
    <s v="Capital Cars"/>
    <s v="Tata Motors"/>
    <s v="PV - EV"/>
    <x v="8"/>
    <s v="Creative"/>
    <s v="Divya Pillai"/>
    <n v="2"/>
    <x v="6"/>
    <n v="1490579.73"/>
    <n v="0"/>
    <n v="0"/>
    <x v="628"/>
    <n v="0"/>
    <x v="628"/>
    <s v="Achive"/>
  </r>
  <r>
    <n v="800275"/>
    <s v="19-03-2025"/>
    <x v="0"/>
    <s v="Odisha"/>
    <s v="Bhubaneswar"/>
    <s v="Corporate/Fleet Sale"/>
    <s v="Statesman Cars"/>
    <s v="Tata Motors"/>
    <s v="PV - ICE"/>
    <x v="13"/>
    <s v="Accomplished+"/>
    <s v="Karan Mehta"/>
    <n v="2"/>
    <x v="11"/>
    <n v="1864207.54"/>
    <n v="0"/>
    <n v="0"/>
    <x v="629"/>
    <n v="0"/>
    <x v="629"/>
    <s v="Achive"/>
  </r>
  <r>
    <n v="800464"/>
    <s v="19-03-2025"/>
    <x v="2"/>
    <s v="Haryana"/>
    <s v="Hisar"/>
    <s v="Exchange Program"/>
    <s v="Metro Tata Motors"/>
    <s v="Tata Motors"/>
    <s v="PV - EV"/>
    <x v="11"/>
    <s v="Creative"/>
    <s v="Vikas Yadav"/>
    <n v="3"/>
    <x v="9"/>
    <n v="1751236.61"/>
    <n v="0"/>
    <n v="0"/>
    <x v="630"/>
    <n v="0"/>
    <x v="630"/>
    <s v="Achive"/>
  </r>
  <r>
    <n v="800014"/>
    <s v="20-03-2025"/>
    <x v="3"/>
    <s v="Maharashtra"/>
    <s v="Nashik"/>
    <s v="Online Booking"/>
    <s v="Om Sai Auto Hub"/>
    <s v="Tata Motors"/>
    <s v="PV - ICE"/>
    <x v="4"/>
    <s v="XM"/>
    <s v="Divya Pillai"/>
    <n v="3"/>
    <x v="2"/>
    <n v="792925.52"/>
    <n v="2"/>
    <n v="0"/>
    <x v="631"/>
    <n v="47575.53"/>
    <x v="631"/>
    <s v="Achive"/>
  </r>
  <r>
    <n v="800243"/>
    <s v="20-03-2025"/>
    <x v="1"/>
    <s v="Karnataka"/>
    <s v="Hubli"/>
    <s v="Corporate/Fleet Sale"/>
    <s v="Reliance Trishakti"/>
    <s v="Tata Motors"/>
    <s v="PV - ICE"/>
    <x v="0"/>
    <s v="XE"/>
    <s v="Divya Pillai"/>
    <n v="3"/>
    <x v="0"/>
    <n v="750000.3"/>
    <n v="5"/>
    <n v="0"/>
    <x v="632"/>
    <n v="112500.04"/>
    <x v="632"/>
    <s v="Achive"/>
  </r>
  <r>
    <n v="800641"/>
    <s v="20-03-2025"/>
    <x v="3"/>
    <s v="Maharashtra"/>
    <s v="Nashik"/>
    <s v="Company Showroom"/>
    <s v="Capital Cars"/>
    <s v="Tata Motors"/>
    <s v="PV - EV"/>
    <x v="5"/>
    <s v="Adventure"/>
    <s v="Neha Singh"/>
    <n v="1"/>
    <x v="3"/>
    <n v="1210205.69"/>
    <n v="5"/>
    <n v="0"/>
    <x v="633"/>
    <n v="60510.28"/>
    <x v="633"/>
    <s v="Not achive"/>
  </r>
  <r>
    <n v="800212"/>
    <s v="22-03-2025"/>
    <x v="3"/>
    <s v="Gujarat"/>
    <s v="Surat"/>
    <s v="Exchange Program"/>
    <s v="Sai Service Tata"/>
    <s v="Tata Motors"/>
    <s v="PV - ICE"/>
    <x v="6"/>
    <s v="Adventure"/>
    <s v="Neha Singh"/>
    <n v="1"/>
    <x v="4"/>
    <n v="712760.11"/>
    <n v="7.5"/>
    <n v="0"/>
    <x v="634"/>
    <n v="53457.01"/>
    <x v="634"/>
    <s v="Not achive"/>
  </r>
  <r>
    <n v="800060"/>
    <s v="24-03-2025"/>
    <x v="3"/>
    <s v="Gujarat"/>
    <s v="Vadodara"/>
    <s v="Corporate/Fleet Sale"/>
    <s v="Landmark Motors"/>
    <s v="Tata Motors"/>
    <s v="PV - ICE"/>
    <x v="13"/>
    <s v="Accomplished+"/>
    <s v="Suresh Kumar"/>
    <n v="2"/>
    <x v="11"/>
    <n v="1847323.99"/>
    <n v="0"/>
    <n v="0"/>
    <x v="635"/>
    <n v="0"/>
    <x v="635"/>
    <s v="Achive"/>
  </r>
  <r>
    <n v="800085"/>
    <s v="25-03-2025"/>
    <x v="1"/>
    <s v="Telangana"/>
    <s v="Warangal"/>
    <s v="Online Booking"/>
    <s v="Sunrise Tata Showroom"/>
    <s v="Tata Motors"/>
    <s v="PV - ICE"/>
    <x v="6"/>
    <s v="Adventure"/>
    <s v="Priya Nair"/>
    <n v="1"/>
    <x v="4"/>
    <n v="687302.2"/>
    <n v="7.5"/>
    <n v="0"/>
    <x v="636"/>
    <n v="51547.67"/>
    <x v="636"/>
    <s v="Not achive"/>
  </r>
  <r>
    <n v="800162"/>
    <s v="25-03-2025"/>
    <x v="3"/>
    <s v="Rajasthan"/>
    <s v="Jaipur"/>
    <s v="Exchange Program"/>
    <s v="Capital Cars"/>
    <s v="Tata Motors"/>
    <s v="PV - ICE"/>
    <x v="4"/>
    <s v="XZ+"/>
    <s v="Karan Mehta"/>
    <n v="2"/>
    <x v="2"/>
    <n v="781911.03"/>
    <n v="2"/>
    <n v="1"/>
    <x v="637"/>
    <n v="31276.44"/>
    <x v="637"/>
    <s v="Not achive"/>
  </r>
  <r>
    <n v="800377"/>
    <s v="25-03-2025"/>
    <x v="0"/>
    <s v="West Bengal"/>
    <s v="Howrah"/>
    <s v="Exchange Program"/>
    <s v="Big Wheels Auto"/>
    <s v="Tata Motors"/>
    <s v="CV - SCV"/>
    <x v="1"/>
    <s v="CNG"/>
    <s v="Suresh Kumar"/>
    <n v="6"/>
    <x v="1"/>
    <n v="536774.86"/>
    <n v="2"/>
    <n v="0"/>
    <x v="638"/>
    <n v="64412.98"/>
    <x v="638"/>
    <s v="Achive"/>
  </r>
  <r>
    <n v="800425"/>
    <s v="26-03-2025"/>
    <x v="3"/>
    <s v="Rajasthan"/>
    <s v="Jaipur"/>
    <s v="Exchange Program"/>
    <s v="Reliance Trishakti"/>
    <s v="Tata Motors"/>
    <s v="PV - ICE"/>
    <x v="4"/>
    <s v="XZ+"/>
    <s v="Divya Pillai"/>
    <n v="2"/>
    <x v="2"/>
    <n v="805844.34"/>
    <n v="7.5"/>
    <n v="0"/>
    <x v="639"/>
    <n v="120876.65"/>
    <x v="639"/>
    <s v="Not achive"/>
  </r>
  <r>
    <n v="800004"/>
    <s v="27-03-2025"/>
    <x v="1"/>
    <s v="Tamil Nadu"/>
    <s v="Coimbatore"/>
    <s v="Exchange Program"/>
    <s v="Concorde Tata"/>
    <s v="Tata Motors"/>
    <s v="CV - Pickup"/>
    <x v="9"/>
    <s v="CX"/>
    <s v="Amit Sharma"/>
    <n v="5"/>
    <x v="7"/>
    <n v="984658.91"/>
    <n v="7.5"/>
    <n v="0"/>
    <x v="640"/>
    <n v="369247.09"/>
    <x v="640"/>
    <s v="Achive"/>
  </r>
  <r>
    <n v="800165"/>
    <s v="27-03-2025"/>
    <x v="1"/>
    <s v="Kerala"/>
    <s v="Thiruvananthapuram"/>
    <s v="Exchange Program"/>
    <s v="Capital Cars"/>
    <s v="Tata Motors"/>
    <s v="PV - ICE"/>
    <x v="6"/>
    <s v="Pure"/>
    <s v="Rohit Verma"/>
    <n v="3"/>
    <x v="4"/>
    <n v="689447.47"/>
    <n v="5"/>
    <n v="0"/>
    <x v="641"/>
    <n v="103417.12"/>
    <x v="641"/>
    <s v="Not achive"/>
  </r>
  <r>
    <n v="800296"/>
    <s v="27-03-2025"/>
    <x v="0"/>
    <s v="Bihar"/>
    <s v="Patna"/>
    <s v="Company Showroom"/>
    <s v="Prerna Automobiles"/>
    <s v="Tata Motors"/>
    <s v="CV - Pickup"/>
    <x v="9"/>
    <s v="Base"/>
    <s v="Anjali Rao"/>
    <n v="2"/>
    <x v="7"/>
    <n v="971653.55"/>
    <n v="0"/>
    <n v="0"/>
    <x v="642"/>
    <n v="0"/>
    <x v="642"/>
    <s v="Not achive"/>
  </r>
  <r>
    <n v="800477"/>
    <s v="27-03-2025"/>
    <x v="3"/>
    <s v="Maharashtra"/>
    <s v="Pune"/>
    <s v="Authorized Dealer"/>
    <s v="Landmark Motors"/>
    <s v="Tata Motors"/>
    <s v="PV - EV"/>
    <x v="12"/>
    <s v="XE"/>
    <s v="Vikas Yadav"/>
    <n v="3"/>
    <x v="10"/>
    <n v="1234394.8799999999"/>
    <n v="7.5"/>
    <n v="0"/>
    <x v="643"/>
    <n v="277738.84999999998"/>
    <x v="643"/>
    <s v="Achive"/>
  </r>
  <r>
    <n v="800423"/>
    <s v="29-03-2025"/>
    <x v="2"/>
    <s v="Delhi"/>
    <s v="New Delhi"/>
    <s v="Online Booking"/>
    <s v="Concorde Tata"/>
    <s v="Tata Motors"/>
    <s v="PV - ICE"/>
    <x v="3"/>
    <s v="Accomplished"/>
    <s v="Anjali Rao"/>
    <n v="2"/>
    <x v="3"/>
    <n v="1197481.19"/>
    <n v="10"/>
    <n v="0"/>
    <x v="644"/>
    <n v="239496.24"/>
    <x v="644"/>
    <s v="Achive"/>
  </r>
  <r>
    <n v="800570"/>
    <s v="29-03-2025"/>
    <x v="2"/>
    <s v="Delhi"/>
    <s v="New Delhi"/>
    <s v="Company Showroom"/>
    <s v="Sunrise Tata Showroom"/>
    <s v="Tata Motors"/>
    <s v="PV - ICE"/>
    <x v="4"/>
    <s v="XZ+"/>
    <s v="Anjali Rao"/>
    <n v="3"/>
    <x v="2"/>
    <n v="779947.43"/>
    <n v="2"/>
    <n v="0"/>
    <x v="645"/>
    <n v="46796.85"/>
    <x v="645"/>
    <s v="Achive"/>
  </r>
  <r>
    <n v="800295"/>
    <s v="30-03-2025"/>
    <x v="3"/>
    <s v="Gujarat"/>
    <s v="Vadodara"/>
    <s v="Online Booking"/>
    <s v="Sai Service Tata"/>
    <s v="Tata Motors"/>
    <s v="PV - ICE"/>
    <x v="3"/>
    <s v="Accomplished"/>
    <s v="Neha Singh"/>
    <n v="1"/>
    <x v="3"/>
    <n v="1194916.18"/>
    <n v="0"/>
    <n v="0"/>
    <x v="646"/>
    <n v="0"/>
    <x v="646"/>
    <s v="Not achive"/>
  </r>
  <r>
    <n v="800300"/>
    <s v="30-03-2025"/>
    <x v="2"/>
    <s v="Punjab"/>
    <s v="Amritsar"/>
    <s v="Company Showroom"/>
    <s v="National Tata Dealership"/>
    <s v="Tata Motors"/>
    <s v="CV - SCV"/>
    <x v="1"/>
    <s v="Base"/>
    <s v="Vikas Yadav"/>
    <n v="3"/>
    <x v="1"/>
    <n v="550229.46"/>
    <n v="5"/>
    <n v="0"/>
    <x v="647"/>
    <n v="82534.42"/>
    <x v="647"/>
    <s v="Not achive"/>
  </r>
  <r>
    <n v="800302"/>
    <s v="31-03-2025"/>
    <x v="1"/>
    <s v="Kerala"/>
    <s v="Thiruvananthapuram"/>
    <s v="Authorized Dealer"/>
    <s v="Capital Cars"/>
    <s v="Tata Motors"/>
    <s v="PV - ICE"/>
    <x v="0"/>
    <s v="XZ"/>
    <s v="Rohit Verma"/>
    <n v="3"/>
    <x v="0"/>
    <n v="739692.64"/>
    <n v="5"/>
    <n v="0"/>
    <x v="648"/>
    <n v="110953.9"/>
    <x v="648"/>
    <s v="Achive"/>
  </r>
  <r>
    <n v="800489"/>
    <s v="31-03-2025"/>
    <x v="1"/>
    <s v="Tamil Nadu"/>
    <s v="Chennai"/>
    <s v="Exchange Program"/>
    <s v="Big Wheels Auto"/>
    <s v="Tata Motors"/>
    <s v="PV - ICE"/>
    <x v="0"/>
    <s v="XZ"/>
    <s v="Anjali Rao"/>
    <n v="1"/>
    <x v="0"/>
    <n v="743689.33"/>
    <n v="10"/>
    <n v="0"/>
    <x v="649"/>
    <n v="74368.929999999993"/>
    <x v="649"/>
    <s v="Not achive"/>
  </r>
  <r>
    <m/>
    <m/>
    <x v="4"/>
    <m/>
    <m/>
    <m/>
    <m/>
    <m/>
    <m/>
    <x v="15"/>
    <m/>
    <m/>
    <m/>
    <x v="13"/>
    <m/>
    <m/>
    <m/>
    <x v="650"/>
    <m/>
    <x v="65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n v="800328"/>
    <x v="0"/>
    <x v="0"/>
    <x v="0"/>
    <s v="Gaya"/>
    <x v="0"/>
    <s v="Big Wheels Auto"/>
    <s v="Tata Motors"/>
    <x v="0"/>
    <x v="0"/>
    <s v="XZ"/>
    <x v="0"/>
    <n v="1"/>
    <n v="750000"/>
    <n v="742628.99"/>
    <n v="0"/>
    <n v="0"/>
    <n v="742628.99"/>
    <n v="0"/>
    <n v="742628.99"/>
    <s v="Not achive"/>
  </r>
  <r>
    <n v="800512"/>
    <x v="1"/>
    <x v="0"/>
    <x v="1"/>
    <s v="Cuttack"/>
    <x v="1"/>
    <s v="Sai Service Tata"/>
    <s v="Tata Motors"/>
    <x v="1"/>
    <x v="1"/>
    <s v="CNG"/>
    <x v="1"/>
    <n v="4"/>
    <n v="550000"/>
    <n v="544607.6"/>
    <n v="0"/>
    <n v="0"/>
    <n v="2178430.4"/>
    <n v="0"/>
    <n v="2178430.4"/>
    <s v="Achive"/>
  </r>
  <r>
    <n v="800332"/>
    <x v="2"/>
    <x v="1"/>
    <x v="2"/>
    <s v="Coimbatore"/>
    <x v="2"/>
    <s v="Reliance Trishakti"/>
    <s v="Tata Motors"/>
    <x v="2"/>
    <x v="2"/>
    <s v="Base"/>
    <x v="1"/>
    <n v="4"/>
    <n v="800000"/>
    <n v="802338.27"/>
    <n v="0"/>
    <n v="0"/>
    <n v="3209353.08"/>
    <n v="0"/>
    <n v="3209353.08"/>
    <s v="Achive"/>
  </r>
  <r>
    <n v="800374"/>
    <x v="2"/>
    <x v="1"/>
    <x v="2"/>
    <s v="Coimbatore"/>
    <x v="3"/>
    <s v="Sunrise Tata Showroom"/>
    <s v="Tata Motors"/>
    <x v="0"/>
    <x v="3"/>
    <s v="Smart"/>
    <x v="2"/>
    <n v="2"/>
    <n v="1200000"/>
    <n v="1199897.54"/>
    <n v="10"/>
    <n v="0"/>
    <n v="2399795.08"/>
    <n v="239979.51"/>
    <n v="2159815.5699999998"/>
    <s v="Achive"/>
  </r>
  <r>
    <n v="800459"/>
    <x v="2"/>
    <x v="2"/>
    <x v="3"/>
    <s v="Kanpur"/>
    <x v="2"/>
    <s v="National Tata Dealership"/>
    <s v="Tata Motors"/>
    <x v="1"/>
    <x v="1"/>
    <s v="CNG"/>
    <x v="0"/>
    <n v="4"/>
    <n v="550000"/>
    <n v="547184.76"/>
    <n v="12.5"/>
    <n v="0"/>
    <n v="2188739.04"/>
    <n v="273592.38"/>
    <n v="1915146.66"/>
    <s v="Not achive"/>
  </r>
  <r>
    <n v="800618"/>
    <x v="2"/>
    <x v="2"/>
    <x v="4"/>
    <s v="Gurugram"/>
    <x v="3"/>
    <s v="Sunrise Tata Showroom"/>
    <s v="Tata Motors"/>
    <x v="0"/>
    <x v="4"/>
    <s v="XE"/>
    <x v="3"/>
    <n v="2"/>
    <n v="800000"/>
    <n v="798529.9"/>
    <n v="2"/>
    <n v="0"/>
    <n v="1597059.8"/>
    <n v="31941.200000000001"/>
    <n v="1565118.6"/>
    <s v="Not achive"/>
  </r>
  <r>
    <n v="800620"/>
    <x v="2"/>
    <x v="2"/>
    <x v="4"/>
    <s v="Faridabad"/>
    <x v="2"/>
    <s v="Concorde Tata"/>
    <s v="Tata Motors"/>
    <x v="0"/>
    <x v="3"/>
    <s v="Accomplished"/>
    <x v="1"/>
    <n v="2"/>
    <n v="1200000"/>
    <n v="1201701.3999999999"/>
    <n v="5"/>
    <n v="0"/>
    <n v="2403402.7999999998"/>
    <n v="120170.14"/>
    <n v="2283232.66"/>
    <s v="Achive"/>
  </r>
  <r>
    <n v="800301"/>
    <x v="3"/>
    <x v="1"/>
    <x v="5"/>
    <s v="Warangal"/>
    <x v="4"/>
    <s v="Capital Cars"/>
    <s v="Tata Motors"/>
    <x v="3"/>
    <x v="5"/>
    <s v="Smart"/>
    <x v="1"/>
    <n v="2"/>
    <n v="1200000"/>
    <n v="1204631.77"/>
    <n v="10"/>
    <n v="0"/>
    <n v="2409263.54"/>
    <n v="240926.35"/>
    <n v="2168337.19"/>
    <s v="Achive"/>
  </r>
  <r>
    <n v="800171"/>
    <x v="4"/>
    <x v="3"/>
    <x v="6"/>
    <s v="Vadodara"/>
    <x v="2"/>
    <s v="Metro Tata Motors"/>
    <s v="Tata Motors"/>
    <x v="1"/>
    <x v="1"/>
    <s v="CNG"/>
    <x v="4"/>
    <n v="6"/>
    <n v="550000"/>
    <n v="559958.61"/>
    <n v="5"/>
    <n v="0"/>
    <n v="3359751.66"/>
    <n v="167987.58"/>
    <n v="3191764.08"/>
    <s v="Achive"/>
  </r>
  <r>
    <n v="800634"/>
    <x v="4"/>
    <x v="0"/>
    <x v="7"/>
    <s v="Kolkata"/>
    <x v="0"/>
    <s v="National Tata Dealership"/>
    <s v="Tata Motors"/>
    <x v="0"/>
    <x v="6"/>
    <s v="Pure"/>
    <x v="5"/>
    <n v="3"/>
    <n v="700000"/>
    <n v="708030.78"/>
    <n v="10"/>
    <n v="0"/>
    <n v="2124092.34"/>
    <n v="212409.23"/>
    <n v="1911683.11"/>
    <s v="Not achive"/>
  </r>
  <r>
    <n v="800252"/>
    <x v="5"/>
    <x v="1"/>
    <x v="8"/>
    <s v="Mysuru"/>
    <x v="2"/>
    <s v="National Tata Dealership"/>
    <s v="Tata Motors"/>
    <x v="0"/>
    <x v="7"/>
    <s v="Fearless+"/>
    <x v="2"/>
    <n v="1"/>
    <n v="1700000"/>
    <n v="1711966.3"/>
    <n v="0"/>
    <n v="0"/>
    <n v="1711966.3"/>
    <n v="0"/>
    <n v="1711966.3"/>
    <s v="Not achive"/>
  </r>
  <r>
    <n v="800310"/>
    <x v="6"/>
    <x v="3"/>
    <x v="9"/>
    <s v="Jodhpur"/>
    <x v="0"/>
    <s v="Metro Tata Motors"/>
    <s v="Tata Motors"/>
    <x v="3"/>
    <x v="8"/>
    <s v="Fearless"/>
    <x v="6"/>
    <n v="1"/>
    <n v="1500000"/>
    <n v="1457829.4"/>
    <n v="2"/>
    <n v="0"/>
    <n v="1457829.4"/>
    <n v="29156.59"/>
    <n v="1428672.81"/>
    <s v="Not achive"/>
  </r>
  <r>
    <n v="800450"/>
    <x v="6"/>
    <x v="0"/>
    <x v="1"/>
    <s v="Bhubaneswar"/>
    <x v="3"/>
    <s v="Metro Tata Motors"/>
    <s v="Tata Motors"/>
    <x v="0"/>
    <x v="3"/>
    <s v="Creative"/>
    <x v="4"/>
    <n v="1"/>
    <n v="1200000"/>
    <n v="1175595.5900000001"/>
    <n v="0"/>
    <n v="0"/>
    <n v="1175595.5900000001"/>
    <n v="0"/>
    <n v="1175595.5900000001"/>
    <s v="Not achive"/>
  </r>
  <r>
    <n v="800097"/>
    <x v="7"/>
    <x v="3"/>
    <x v="9"/>
    <s v="Jodhpur"/>
    <x v="3"/>
    <s v="Concorde Tata"/>
    <s v="Tata Motors"/>
    <x v="0"/>
    <x v="7"/>
    <s v="Smart"/>
    <x v="4"/>
    <n v="1"/>
    <n v="1700000"/>
    <n v="1679450.59"/>
    <n v="2"/>
    <n v="0"/>
    <n v="1679450.59"/>
    <n v="33589.01"/>
    <n v="1645861.58"/>
    <s v="Not achive"/>
  </r>
  <r>
    <n v="800131"/>
    <x v="7"/>
    <x v="3"/>
    <x v="6"/>
    <s v="Vadodara"/>
    <x v="2"/>
    <s v="Prerna Automobiles"/>
    <s v="Tata Motors"/>
    <x v="3"/>
    <x v="8"/>
    <s v="Empowered"/>
    <x v="7"/>
    <n v="2"/>
    <n v="1500000"/>
    <n v="1459710.54"/>
    <n v="12.5"/>
    <n v="0"/>
    <n v="2919421.08"/>
    <n v="364927.64"/>
    <n v="2554493.44"/>
    <s v="Achive"/>
  </r>
  <r>
    <n v="800516"/>
    <x v="7"/>
    <x v="3"/>
    <x v="6"/>
    <s v="Surat"/>
    <x v="2"/>
    <s v="Om Sai Auto Hub"/>
    <s v="Tata Motors"/>
    <x v="0"/>
    <x v="7"/>
    <s v="Pure"/>
    <x v="1"/>
    <n v="3"/>
    <n v="1700000"/>
    <n v="1731021.08"/>
    <n v="12.5"/>
    <n v="0"/>
    <n v="5193063.24"/>
    <n v="649132.91"/>
    <n v="4543930.33"/>
    <s v="Achive"/>
  </r>
  <r>
    <n v="800564"/>
    <x v="7"/>
    <x v="3"/>
    <x v="10"/>
    <s v="Nashik"/>
    <x v="1"/>
    <s v="Sai Service Tata"/>
    <s v="Tata Motors"/>
    <x v="2"/>
    <x v="2"/>
    <s v="Base"/>
    <x v="6"/>
    <n v="4"/>
    <n v="800000"/>
    <n v="812641.25"/>
    <n v="0"/>
    <n v="0"/>
    <n v="3250565"/>
    <n v="0"/>
    <n v="3250565"/>
    <s v="Achive"/>
  </r>
  <r>
    <n v="800272"/>
    <x v="8"/>
    <x v="3"/>
    <x v="9"/>
    <s v="Jaipur"/>
    <x v="0"/>
    <s v="Om Sai Auto Hub"/>
    <s v="Tata Motors"/>
    <x v="3"/>
    <x v="5"/>
    <s v="Smart"/>
    <x v="1"/>
    <n v="1"/>
    <n v="1200000"/>
    <n v="1169415.44"/>
    <n v="2"/>
    <n v="0"/>
    <n v="1169415.44"/>
    <n v="23388.31"/>
    <n v="1146027.1299999999"/>
    <s v="Not achive"/>
  </r>
  <r>
    <n v="800183"/>
    <x v="9"/>
    <x v="0"/>
    <x v="0"/>
    <s v="Patna"/>
    <x v="4"/>
    <s v="Concorde Tata"/>
    <s v="Tata Motors"/>
    <x v="0"/>
    <x v="4"/>
    <s v="XZ+"/>
    <x v="6"/>
    <n v="3"/>
    <n v="800000"/>
    <n v="781093.88"/>
    <n v="2"/>
    <n v="0"/>
    <n v="2343281.64"/>
    <n v="46865.63"/>
    <n v="2296416.0099999998"/>
    <s v="Achive"/>
  </r>
  <r>
    <n v="800313"/>
    <x v="9"/>
    <x v="1"/>
    <x v="5"/>
    <s v="Warangal"/>
    <x v="3"/>
    <s v="Statesman Cars"/>
    <s v="Tata Motors"/>
    <x v="2"/>
    <x v="9"/>
    <s v="CX"/>
    <x v="0"/>
    <n v="2"/>
    <n v="1000000"/>
    <n v="981216.07"/>
    <n v="0"/>
    <n v="0"/>
    <n v="1962432.14"/>
    <n v="0"/>
    <n v="1962432.14"/>
    <s v="Not achive"/>
  </r>
  <r>
    <n v="800548"/>
    <x v="10"/>
    <x v="3"/>
    <x v="9"/>
    <s v="Jaipur"/>
    <x v="4"/>
    <s v="Big Wheels Auto"/>
    <s v="Tata Motors"/>
    <x v="0"/>
    <x v="4"/>
    <s v="XM"/>
    <x v="1"/>
    <n v="3"/>
    <n v="800000"/>
    <n v="815018.63"/>
    <n v="5"/>
    <n v="0"/>
    <n v="2445055.89"/>
    <n v="122252.79"/>
    <n v="2322803.1"/>
    <s v="Achive"/>
  </r>
  <r>
    <n v="800448"/>
    <x v="11"/>
    <x v="2"/>
    <x v="4"/>
    <s v="Panipat"/>
    <x v="0"/>
    <s v="Sunrise Tata Showroom"/>
    <s v="Tata Motors"/>
    <x v="0"/>
    <x v="3"/>
    <s v="Accomplished"/>
    <x v="5"/>
    <n v="1"/>
    <n v="1200000"/>
    <n v="1210746.47"/>
    <n v="0"/>
    <n v="0"/>
    <n v="1210746.47"/>
    <n v="0"/>
    <n v="1210746.47"/>
    <s v="Not achive"/>
  </r>
  <r>
    <n v="800603"/>
    <x v="12"/>
    <x v="3"/>
    <x v="9"/>
    <s v="Jodhpur"/>
    <x v="1"/>
    <s v="Concorde Tata"/>
    <s v="Tata Motors"/>
    <x v="0"/>
    <x v="10"/>
    <s v="Creative"/>
    <x v="7"/>
    <n v="3"/>
    <n v="950000"/>
    <n v="960137.83"/>
    <n v="7.5"/>
    <n v="0"/>
    <n v="2880413.49"/>
    <n v="216031.01"/>
    <n v="2664382.48"/>
    <s v="Achive"/>
  </r>
  <r>
    <n v="800001"/>
    <x v="13"/>
    <x v="2"/>
    <x v="11"/>
    <s v="Dwarka"/>
    <x v="3"/>
    <s v="Prerna Automobiles"/>
    <s v="Tata Motors"/>
    <x v="0"/>
    <x v="4"/>
    <s v="XZ+"/>
    <x v="2"/>
    <n v="3"/>
    <n v="800000"/>
    <n v="805626.71"/>
    <n v="0"/>
    <n v="0"/>
    <n v="2416880.13"/>
    <n v="0"/>
    <n v="2416880.13"/>
    <s v="Achive"/>
  </r>
  <r>
    <n v="800421"/>
    <x v="13"/>
    <x v="0"/>
    <x v="1"/>
    <s v="Bhubaneswar"/>
    <x v="2"/>
    <s v="Concorde Tata"/>
    <s v="Tata Motors"/>
    <x v="3"/>
    <x v="11"/>
    <s v="Empowered"/>
    <x v="2"/>
    <n v="1"/>
    <n v="1800000"/>
    <n v="1821167.4"/>
    <n v="0"/>
    <n v="0"/>
    <n v="1821167.4"/>
    <n v="0"/>
    <n v="1821167.4"/>
    <s v="Not achive"/>
  </r>
  <r>
    <n v="800078"/>
    <x v="14"/>
    <x v="0"/>
    <x v="0"/>
    <s v="Gaya"/>
    <x v="0"/>
    <s v="Sai Service Tata"/>
    <s v="Tata Motors"/>
    <x v="2"/>
    <x v="9"/>
    <s v="CX"/>
    <x v="6"/>
    <n v="6"/>
    <n v="1000000"/>
    <n v="1009619.68"/>
    <n v="0"/>
    <n v="0"/>
    <n v="6057718.0800000001"/>
    <n v="0"/>
    <n v="6057718.0800000001"/>
    <s v="Achive"/>
  </r>
  <r>
    <n v="800474"/>
    <x v="14"/>
    <x v="3"/>
    <x v="6"/>
    <s v="Surat"/>
    <x v="1"/>
    <s v="Sunrise Tata Showroom"/>
    <s v="Tata Motors"/>
    <x v="1"/>
    <x v="1"/>
    <s v="CNG"/>
    <x v="4"/>
    <n v="1"/>
    <n v="550000"/>
    <n v="556108.81000000006"/>
    <n v="0"/>
    <n v="0"/>
    <n v="556108.81000000006"/>
    <n v="0"/>
    <n v="556108.81000000006"/>
    <s v="Not achive"/>
  </r>
  <r>
    <n v="800170"/>
    <x v="15"/>
    <x v="0"/>
    <x v="1"/>
    <s v="Cuttack"/>
    <x v="4"/>
    <s v="Big Wheels Auto"/>
    <s v="Tata Motors"/>
    <x v="3"/>
    <x v="5"/>
    <s v="Empowered"/>
    <x v="0"/>
    <n v="1"/>
    <n v="1200000"/>
    <n v="1203137.92"/>
    <n v="2"/>
    <n v="0"/>
    <n v="1203137.92"/>
    <n v="24062.76"/>
    <n v="1179075.1599999999"/>
    <s v="Not achive"/>
  </r>
  <r>
    <n v="800023"/>
    <x v="16"/>
    <x v="2"/>
    <x v="3"/>
    <s v="Lucknow"/>
    <x v="1"/>
    <s v="Concorde Tata"/>
    <s v="Tata Motors"/>
    <x v="0"/>
    <x v="7"/>
    <s v="Smart"/>
    <x v="6"/>
    <n v="1"/>
    <n v="1700000"/>
    <n v="1729035.67"/>
    <n v="2"/>
    <n v="0"/>
    <n v="1729035.67"/>
    <n v="34580.71"/>
    <n v="1694454.96"/>
    <s v="Not achive"/>
  </r>
  <r>
    <n v="800111"/>
    <x v="17"/>
    <x v="2"/>
    <x v="12"/>
    <s v="Jalandhar"/>
    <x v="0"/>
    <s v="Statesman Cars"/>
    <s v="Tata Motors"/>
    <x v="0"/>
    <x v="4"/>
    <s v="XM"/>
    <x v="3"/>
    <n v="3"/>
    <n v="800000"/>
    <n v="785204.43"/>
    <n v="7.5"/>
    <n v="0"/>
    <n v="2355613.29"/>
    <n v="176671"/>
    <n v="2178942.29"/>
    <s v="Achive"/>
  </r>
  <r>
    <n v="800135"/>
    <x v="17"/>
    <x v="0"/>
    <x v="1"/>
    <s v="Bhubaneswar"/>
    <x v="3"/>
    <s v="Statesman Cars"/>
    <s v="Tata Motors"/>
    <x v="0"/>
    <x v="0"/>
    <s v="XZ+"/>
    <x v="1"/>
    <n v="1"/>
    <n v="750000"/>
    <n v="738504.1"/>
    <n v="0"/>
    <n v="0"/>
    <n v="738504.1"/>
    <n v="0"/>
    <n v="738504.1"/>
    <s v="Not achive"/>
  </r>
  <r>
    <n v="800124"/>
    <x v="18"/>
    <x v="2"/>
    <x v="11"/>
    <s v="Dwarka"/>
    <x v="1"/>
    <s v="Statesman Cars"/>
    <s v="Tata Motors"/>
    <x v="3"/>
    <x v="12"/>
    <s v="XZ+"/>
    <x v="4"/>
    <n v="1"/>
    <n v="1250000"/>
    <n v="1223802.8700000001"/>
    <n v="0"/>
    <n v="0"/>
    <n v="1223802.8700000001"/>
    <n v="0"/>
    <n v="1223802.8700000001"/>
    <s v="Not achive"/>
  </r>
  <r>
    <n v="800185"/>
    <x v="18"/>
    <x v="2"/>
    <x v="12"/>
    <s v="Jalandhar"/>
    <x v="2"/>
    <s v="Prerna Automobiles"/>
    <s v="Tata Motors"/>
    <x v="0"/>
    <x v="6"/>
    <s v="Pure"/>
    <x v="2"/>
    <n v="3"/>
    <n v="700000"/>
    <n v="680175.17"/>
    <n v="0"/>
    <n v="0"/>
    <n v="2040525.51"/>
    <n v="0"/>
    <n v="2040525.51"/>
    <s v="Achive"/>
  </r>
  <r>
    <n v="800285"/>
    <x v="18"/>
    <x v="0"/>
    <x v="7"/>
    <s v="Howrah"/>
    <x v="2"/>
    <s v="Reliance Trishakti"/>
    <s v="Tata Motors"/>
    <x v="3"/>
    <x v="11"/>
    <s v="Accomplished"/>
    <x v="4"/>
    <n v="2"/>
    <n v="1800000"/>
    <n v="1825694.34"/>
    <n v="7.5"/>
    <n v="0"/>
    <n v="3651388.68"/>
    <n v="273854.15000000002"/>
    <n v="3377534.53"/>
    <s v="Achive"/>
  </r>
  <r>
    <n v="800278"/>
    <x v="19"/>
    <x v="1"/>
    <x v="5"/>
    <s v="Hyderabad"/>
    <x v="4"/>
    <s v="Prerna Automobiles"/>
    <s v="Tata Motors"/>
    <x v="0"/>
    <x v="6"/>
    <s v="Creative+"/>
    <x v="2"/>
    <n v="2"/>
    <n v="700000"/>
    <n v="687983.03"/>
    <n v="0"/>
    <n v="0"/>
    <n v="1375966.06"/>
    <n v="0"/>
    <n v="1375966.06"/>
    <s v="Not achive"/>
  </r>
  <r>
    <n v="800262"/>
    <x v="20"/>
    <x v="3"/>
    <x v="9"/>
    <s v="Jodhpur"/>
    <x v="1"/>
    <s v="Landmark Motors"/>
    <s v="Tata Motors"/>
    <x v="0"/>
    <x v="6"/>
    <s v="Adventure"/>
    <x v="4"/>
    <n v="1"/>
    <n v="700000"/>
    <n v="703890.51"/>
    <n v="7.5"/>
    <n v="0"/>
    <n v="703890.51"/>
    <n v="52791.79"/>
    <n v="651098.72"/>
    <s v="Not achive"/>
  </r>
  <r>
    <n v="800434"/>
    <x v="20"/>
    <x v="0"/>
    <x v="7"/>
    <s v="Kolkata"/>
    <x v="3"/>
    <s v="Metro Tata Motors"/>
    <s v="Tata Motors"/>
    <x v="3"/>
    <x v="5"/>
    <s v="Adventure"/>
    <x v="4"/>
    <n v="1"/>
    <n v="1200000"/>
    <n v="1184170.0900000001"/>
    <n v="12.5"/>
    <n v="0"/>
    <n v="1184170.0900000001"/>
    <n v="148021.26"/>
    <n v="1036148.83"/>
    <s v="Not achive"/>
  </r>
  <r>
    <n v="800168"/>
    <x v="21"/>
    <x v="1"/>
    <x v="13"/>
    <s v="Kochi"/>
    <x v="2"/>
    <s v="National Tata Dealership"/>
    <s v="Tata Motors"/>
    <x v="0"/>
    <x v="13"/>
    <s v="Accomplished+"/>
    <x v="8"/>
    <n v="1"/>
    <n v="1900000"/>
    <n v="1847822.72"/>
    <n v="2"/>
    <n v="0"/>
    <n v="1847822.72"/>
    <n v="36956.449999999997"/>
    <n v="1810866.27"/>
    <s v="Not achive"/>
  </r>
  <r>
    <n v="800527"/>
    <x v="21"/>
    <x v="2"/>
    <x v="11"/>
    <s v="Dwarka"/>
    <x v="4"/>
    <s v="Prerna Automobiles"/>
    <s v="Tata Motors"/>
    <x v="3"/>
    <x v="8"/>
    <s v="Fearless"/>
    <x v="9"/>
    <n v="3"/>
    <n v="1500000"/>
    <n v="1515386.53"/>
    <n v="12.5"/>
    <n v="1"/>
    <n v="4546159.59"/>
    <n v="568269.94999999995"/>
    <n v="3977889.64"/>
    <s v="Achive"/>
  </r>
  <r>
    <n v="800339"/>
    <x v="22"/>
    <x v="3"/>
    <x v="9"/>
    <s v="Jodhpur"/>
    <x v="3"/>
    <s v="Om Sai Auto Hub"/>
    <s v="Tata Motors"/>
    <x v="1"/>
    <x v="1"/>
    <s v="CNG"/>
    <x v="0"/>
    <n v="4"/>
    <n v="550000"/>
    <n v="544157.75"/>
    <n v="7.5"/>
    <n v="0"/>
    <n v="2176631"/>
    <n v="163247.32999999999"/>
    <n v="2013383.67"/>
    <s v="Achive"/>
  </r>
  <r>
    <n v="800621"/>
    <x v="23"/>
    <x v="1"/>
    <x v="2"/>
    <s v="Coimbatore"/>
    <x v="4"/>
    <s v="Sai Service Tata"/>
    <s v="Tata Motors"/>
    <x v="0"/>
    <x v="13"/>
    <s v="Accomplished+"/>
    <x v="4"/>
    <n v="1"/>
    <n v="1900000"/>
    <n v="1925011.49"/>
    <n v="5"/>
    <n v="0"/>
    <n v="1925011.49"/>
    <n v="96250.57"/>
    <n v="1828760.92"/>
    <s v="Not achive"/>
  </r>
  <r>
    <n v="800181"/>
    <x v="24"/>
    <x v="2"/>
    <x v="12"/>
    <s v="Ludhiana"/>
    <x v="2"/>
    <s v="Sai Service Tata"/>
    <s v="Tata Motors"/>
    <x v="0"/>
    <x v="6"/>
    <s v="Creative+"/>
    <x v="2"/>
    <n v="1"/>
    <n v="700000"/>
    <n v="693829.41"/>
    <n v="0"/>
    <n v="0"/>
    <n v="693829.41"/>
    <n v="0"/>
    <n v="693829.41"/>
    <s v="Not achive"/>
  </r>
  <r>
    <n v="800257"/>
    <x v="24"/>
    <x v="1"/>
    <x v="2"/>
    <s v="Coimbatore"/>
    <x v="2"/>
    <s v="Reliance Trishakti"/>
    <s v="Tata Motors"/>
    <x v="3"/>
    <x v="8"/>
    <s v="Empowered"/>
    <x v="5"/>
    <n v="1"/>
    <n v="1500000"/>
    <n v="1470389.58"/>
    <n v="2"/>
    <n v="0"/>
    <n v="1470389.58"/>
    <n v="29407.79"/>
    <n v="1440981.79"/>
    <s v="Not achive"/>
  </r>
  <r>
    <n v="800163"/>
    <x v="25"/>
    <x v="2"/>
    <x v="3"/>
    <s v="Lucknow"/>
    <x v="0"/>
    <s v="Big Wheels Auto"/>
    <s v="Tata Motors"/>
    <x v="3"/>
    <x v="8"/>
    <s v="Creative"/>
    <x v="6"/>
    <n v="3"/>
    <n v="1500000"/>
    <n v="1470291.88"/>
    <n v="12.5"/>
    <n v="0"/>
    <n v="4410875.6399999997"/>
    <n v="551359.44999999995"/>
    <n v="3859516.19"/>
    <s v="Achive"/>
  </r>
  <r>
    <n v="800488"/>
    <x v="25"/>
    <x v="1"/>
    <x v="13"/>
    <s v="Thiruvananthapuram"/>
    <x v="4"/>
    <s v="Concorde Tata"/>
    <s v="Tata Motors"/>
    <x v="3"/>
    <x v="12"/>
    <s v="XE"/>
    <x v="7"/>
    <n v="3"/>
    <n v="1250000"/>
    <n v="1237762.3400000001"/>
    <n v="0"/>
    <n v="0"/>
    <n v="3713287.02"/>
    <n v="0"/>
    <n v="3713287.02"/>
    <s v="Achive"/>
  </r>
  <r>
    <n v="800635"/>
    <x v="25"/>
    <x v="2"/>
    <x v="12"/>
    <s v="Ludhiana"/>
    <x v="0"/>
    <s v="Sai Service Tata"/>
    <s v="Tata Motors"/>
    <x v="3"/>
    <x v="12"/>
    <s v="XZ+"/>
    <x v="0"/>
    <n v="2"/>
    <n v="1250000"/>
    <n v="1237480.02"/>
    <n v="12.5"/>
    <n v="0"/>
    <n v="2474960.04"/>
    <n v="309370.01"/>
    <n v="2165590.0299999998"/>
    <s v="Achive"/>
  </r>
  <r>
    <n v="800133"/>
    <x v="26"/>
    <x v="1"/>
    <x v="2"/>
    <s v="Chennai"/>
    <x v="0"/>
    <s v="Capital Cars"/>
    <s v="Tata Motors"/>
    <x v="0"/>
    <x v="14"/>
    <s v="XZ+"/>
    <x v="6"/>
    <n v="2"/>
    <n v="650000"/>
    <n v="638743.63"/>
    <n v="0"/>
    <n v="0"/>
    <n v="1277487.26"/>
    <n v="0"/>
    <n v="1277487.26"/>
    <s v="Not achive"/>
  </r>
  <r>
    <n v="800140"/>
    <x v="26"/>
    <x v="1"/>
    <x v="2"/>
    <s v="Chennai"/>
    <x v="0"/>
    <s v="Big Wheels Auto"/>
    <s v="Tata Motors"/>
    <x v="3"/>
    <x v="11"/>
    <s v="Empowered"/>
    <x v="4"/>
    <n v="1"/>
    <n v="1800000"/>
    <n v="1758850.15"/>
    <n v="12.5"/>
    <n v="0"/>
    <n v="1758850.15"/>
    <n v="219856.27"/>
    <n v="1538993.88"/>
    <s v="Not achive"/>
  </r>
  <r>
    <n v="800467"/>
    <x v="26"/>
    <x v="0"/>
    <x v="0"/>
    <s v="Gaya"/>
    <x v="4"/>
    <s v="Om Sai Auto Hub"/>
    <s v="Tata Motors"/>
    <x v="1"/>
    <x v="1"/>
    <s v="Base"/>
    <x v="0"/>
    <n v="6"/>
    <n v="550000"/>
    <n v="539032.65"/>
    <n v="5"/>
    <n v="0"/>
    <n v="3234195.9"/>
    <n v="161709.79999999999"/>
    <n v="3072486.1"/>
    <s v="Achive"/>
  </r>
  <r>
    <n v="800558"/>
    <x v="26"/>
    <x v="0"/>
    <x v="0"/>
    <s v="Gaya"/>
    <x v="0"/>
    <s v="Statesman Cars"/>
    <s v="Tata Motors"/>
    <x v="0"/>
    <x v="3"/>
    <s v="Accomplished"/>
    <x v="8"/>
    <n v="1"/>
    <n v="1200000"/>
    <n v="1171161.28"/>
    <n v="5"/>
    <n v="0"/>
    <n v="1171161.28"/>
    <n v="58558.06"/>
    <n v="1112603.22"/>
    <s v="Not achive"/>
  </r>
  <r>
    <n v="800569"/>
    <x v="26"/>
    <x v="2"/>
    <x v="11"/>
    <s v="New Delhi"/>
    <x v="4"/>
    <s v="National Tata Dealership"/>
    <s v="Tata Motors"/>
    <x v="0"/>
    <x v="10"/>
    <s v="Creative"/>
    <x v="4"/>
    <n v="3"/>
    <n v="950000"/>
    <n v="958588.1"/>
    <n v="2"/>
    <n v="0"/>
    <n v="2875764.3"/>
    <n v="57515.29"/>
    <n v="2818249.01"/>
    <s v="Achive"/>
  </r>
  <r>
    <n v="800035"/>
    <x v="27"/>
    <x v="0"/>
    <x v="1"/>
    <s v="Cuttack"/>
    <x v="0"/>
    <s v="National Tata Dealership"/>
    <s v="Tata Motors"/>
    <x v="0"/>
    <x v="6"/>
    <s v="Adventure"/>
    <x v="0"/>
    <n v="3"/>
    <n v="700000"/>
    <n v="694262.01"/>
    <n v="2"/>
    <n v="0"/>
    <n v="2082786.03"/>
    <n v="41655.72"/>
    <n v="2041130.31"/>
    <s v="Achive"/>
  </r>
  <r>
    <n v="800016"/>
    <x v="28"/>
    <x v="2"/>
    <x v="3"/>
    <s v="Kanpur"/>
    <x v="2"/>
    <s v="Concorde Tata"/>
    <s v="Tata Motors"/>
    <x v="0"/>
    <x v="13"/>
    <s v="Accomplished+"/>
    <x v="0"/>
    <n v="1"/>
    <n v="1900000"/>
    <n v="1849403.03"/>
    <n v="0"/>
    <n v="0"/>
    <n v="1849403.03"/>
    <n v="0"/>
    <n v="1849403.03"/>
    <s v="Not achive"/>
  </r>
  <r>
    <n v="800510"/>
    <x v="28"/>
    <x v="0"/>
    <x v="0"/>
    <s v="Patna"/>
    <x v="1"/>
    <s v="Metro Tata Motors"/>
    <s v="Tata Motors"/>
    <x v="0"/>
    <x v="6"/>
    <s v="Creative+"/>
    <x v="2"/>
    <n v="2"/>
    <n v="700000"/>
    <n v="704039.01"/>
    <n v="0"/>
    <n v="1"/>
    <n v="1408078.02"/>
    <n v="0"/>
    <n v="1408078.02"/>
    <s v="Not achive"/>
  </r>
  <r>
    <n v="800039"/>
    <x v="29"/>
    <x v="1"/>
    <x v="2"/>
    <s v="Chennai"/>
    <x v="4"/>
    <s v="Prerna Automobiles"/>
    <s v="Tata Motors"/>
    <x v="1"/>
    <x v="1"/>
    <s v="Base"/>
    <x v="4"/>
    <n v="1"/>
    <n v="550000"/>
    <n v="534770.88"/>
    <n v="12.5"/>
    <n v="0"/>
    <n v="534770.88"/>
    <n v="66846.36"/>
    <n v="467924.52"/>
    <s v="Not achive"/>
  </r>
  <r>
    <n v="800146"/>
    <x v="29"/>
    <x v="3"/>
    <x v="9"/>
    <s v="Jaipur"/>
    <x v="2"/>
    <s v="Sunrise Tata Showroom"/>
    <s v="Tata Motors"/>
    <x v="3"/>
    <x v="8"/>
    <s v="Empowered"/>
    <x v="1"/>
    <n v="3"/>
    <n v="1500000"/>
    <n v="1485809.63"/>
    <n v="10"/>
    <n v="0"/>
    <n v="4457428.8899999997"/>
    <n v="445742.89"/>
    <n v="4011686"/>
    <s v="Achive"/>
  </r>
  <r>
    <n v="800019"/>
    <x v="30"/>
    <x v="2"/>
    <x v="3"/>
    <s v="Kanpur"/>
    <x v="3"/>
    <s v="Om Sai Auto Hub"/>
    <s v="Tata Motors"/>
    <x v="0"/>
    <x v="3"/>
    <s v="Smart"/>
    <x v="6"/>
    <n v="1"/>
    <n v="1200000"/>
    <n v="1180712.71"/>
    <n v="2"/>
    <n v="0"/>
    <n v="1180712.71"/>
    <n v="23614.25"/>
    <n v="1157098.46"/>
    <s v="Not achive"/>
  </r>
  <r>
    <n v="800196"/>
    <x v="30"/>
    <x v="0"/>
    <x v="7"/>
    <s v="Kolkata"/>
    <x v="4"/>
    <s v="Statesman Cars"/>
    <s v="Tata Motors"/>
    <x v="0"/>
    <x v="4"/>
    <s v="XZ+"/>
    <x v="3"/>
    <n v="2"/>
    <n v="800000"/>
    <n v="783361.91"/>
    <n v="0"/>
    <n v="0"/>
    <n v="1566723.82"/>
    <n v="0"/>
    <n v="1566723.82"/>
    <s v="Not achive"/>
  </r>
  <r>
    <n v="800117"/>
    <x v="31"/>
    <x v="1"/>
    <x v="13"/>
    <s v="Kochi"/>
    <x v="4"/>
    <s v="Om Sai Auto Hub"/>
    <s v="Tata Motors"/>
    <x v="0"/>
    <x v="0"/>
    <s v="XZ"/>
    <x v="1"/>
    <n v="2"/>
    <n v="750000"/>
    <n v="728910.27"/>
    <n v="7.5"/>
    <n v="0"/>
    <n v="1457820.54"/>
    <n v="109336.54"/>
    <n v="1348484"/>
    <s v="Not achive"/>
  </r>
  <r>
    <n v="800141"/>
    <x v="31"/>
    <x v="3"/>
    <x v="9"/>
    <s v="Jodhpur"/>
    <x v="4"/>
    <s v="Metro Tata Motors"/>
    <s v="Tata Motors"/>
    <x v="3"/>
    <x v="12"/>
    <s v="XE"/>
    <x v="7"/>
    <n v="1"/>
    <n v="1250000"/>
    <n v="1254941.3799999999"/>
    <n v="7.5"/>
    <n v="0"/>
    <n v="1254941.3799999999"/>
    <n v="94120.6"/>
    <n v="1160820.78"/>
    <s v="Not achive"/>
  </r>
  <r>
    <n v="800542"/>
    <x v="31"/>
    <x v="1"/>
    <x v="5"/>
    <s v="Warangal"/>
    <x v="2"/>
    <s v="Prerna Automobiles"/>
    <s v="Tata Motors"/>
    <x v="2"/>
    <x v="9"/>
    <s v="CX"/>
    <x v="2"/>
    <n v="1"/>
    <n v="1000000"/>
    <n v="989534.13"/>
    <n v="0"/>
    <n v="0"/>
    <n v="989534.13"/>
    <n v="0"/>
    <n v="989534.13"/>
    <s v="Not achive"/>
  </r>
  <r>
    <n v="800388"/>
    <x v="32"/>
    <x v="3"/>
    <x v="9"/>
    <s v="Jaipur"/>
    <x v="4"/>
    <s v="Prerna Automobiles"/>
    <s v="Tata Motors"/>
    <x v="0"/>
    <x v="6"/>
    <s v="Pure"/>
    <x v="8"/>
    <n v="3"/>
    <n v="700000"/>
    <n v="691460.96"/>
    <n v="0"/>
    <n v="0"/>
    <n v="2074382.88"/>
    <n v="0"/>
    <n v="2074382.88"/>
    <s v="Achive"/>
  </r>
  <r>
    <n v="800043"/>
    <x v="33"/>
    <x v="0"/>
    <x v="1"/>
    <s v="Cuttack"/>
    <x v="4"/>
    <s v="Capital Cars"/>
    <s v="Tata Motors"/>
    <x v="0"/>
    <x v="0"/>
    <s v="XZ+"/>
    <x v="5"/>
    <n v="1"/>
    <n v="750000"/>
    <n v="737689.32"/>
    <n v="7.5"/>
    <n v="0"/>
    <n v="737689.32"/>
    <n v="55326.7"/>
    <n v="682362.62"/>
    <s v="Not achive"/>
  </r>
  <r>
    <n v="800128"/>
    <x v="33"/>
    <x v="3"/>
    <x v="6"/>
    <s v="Vadodara"/>
    <x v="3"/>
    <s v="Capital Cars"/>
    <s v="Tata Motors"/>
    <x v="2"/>
    <x v="9"/>
    <s v="CX"/>
    <x v="0"/>
    <n v="4"/>
    <n v="1000000"/>
    <n v="972662.84"/>
    <n v="7.5"/>
    <n v="0"/>
    <n v="3890651.36"/>
    <n v="291798.84999999998"/>
    <n v="3598852.51"/>
    <s v="Achive"/>
  </r>
  <r>
    <n v="800358"/>
    <x v="33"/>
    <x v="3"/>
    <x v="9"/>
    <s v="Jodhpur"/>
    <x v="0"/>
    <s v="Capital Cars"/>
    <s v="Tata Motors"/>
    <x v="0"/>
    <x v="3"/>
    <s v="Creative"/>
    <x v="5"/>
    <n v="2"/>
    <n v="1200000"/>
    <n v="1197100.31"/>
    <n v="0"/>
    <n v="0"/>
    <n v="2394200.62"/>
    <n v="0"/>
    <n v="2394200.62"/>
    <s v="Achive"/>
  </r>
  <r>
    <n v="800522"/>
    <x v="33"/>
    <x v="3"/>
    <x v="6"/>
    <s v="Vadodara"/>
    <x v="1"/>
    <s v="Landmark Motors"/>
    <s v="Tata Motors"/>
    <x v="0"/>
    <x v="4"/>
    <s v="XE"/>
    <x v="7"/>
    <n v="2"/>
    <n v="800000"/>
    <n v="807106.47"/>
    <n v="0"/>
    <n v="0"/>
    <n v="1614212.94"/>
    <n v="0"/>
    <n v="1614212.94"/>
    <s v="Not achive"/>
  </r>
  <r>
    <n v="800551"/>
    <x v="34"/>
    <x v="3"/>
    <x v="6"/>
    <s v="Surat"/>
    <x v="2"/>
    <s v="Big Wheels Auto"/>
    <s v="Tata Motors"/>
    <x v="0"/>
    <x v="14"/>
    <s v="XZ+"/>
    <x v="8"/>
    <n v="3"/>
    <n v="650000"/>
    <n v="647609.1"/>
    <n v="5"/>
    <n v="0"/>
    <n v="1942827.3"/>
    <n v="97141.37"/>
    <n v="1845685.93"/>
    <s v="Not achive"/>
  </r>
  <r>
    <n v="800132"/>
    <x v="35"/>
    <x v="3"/>
    <x v="9"/>
    <s v="Jaipur"/>
    <x v="4"/>
    <s v="Metro Tata Motors"/>
    <s v="Tata Motors"/>
    <x v="0"/>
    <x v="14"/>
    <s v="XZ+"/>
    <x v="9"/>
    <n v="1"/>
    <n v="650000"/>
    <n v="649046.56999999995"/>
    <n v="0"/>
    <n v="0"/>
    <n v="649046.56999999995"/>
    <n v="0"/>
    <n v="649046.56999999995"/>
    <s v="Not achive"/>
  </r>
  <r>
    <n v="800258"/>
    <x v="35"/>
    <x v="3"/>
    <x v="9"/>
    <s v="Jodhpur"/>
    <x v="2"/>
    <s v="Landmark Motors"/>
    <s v="Tata Motors"/>
    <x v="2"/>
    <x v="9"/>
    <s v="Base"/>
    <x v="3"/>
    <n v="4"/>
    <n v="1000000"/>
    <n v="1005042.35"/>
    <n v="7.5"/>
    <n v="0"/>
    <n v="4020169.4"/>
    <n v="301512.71000000002"/>
    <n v="3718656.69"/>
    <s v="Achive"/>
  </r>
  <r>
    <n v="800248"/>
    <x v="36"/>
    <x v="3"/>
    <x v="10"/>
    <s v="Nashik"/>
    <x v="4"/>
    <s v="Metro Tata Motors"/>
    <s v="Tata Motors"/>
    <x v="3"/>
    <x v="12"/>
    <s v="XE"/>
    <x v="5"/>
    <n v="3"/>
    <n v="1250000"/>
    <n v="1239842.8799999999"/>
    <n v="2"/>
    <n v="0"/>
    <n v="3719528.64"/>
    <n v="74390.570000000007"/>
    <n v="3645138.07"/>
    <s v="Achive"/>
  </r>
  <r>
    <n v="800553"/>
    <x v="36"/>
    <x v="0"/>
    <x v="0"/>
    <s v="Gaya"/>
    <x v="4"/>
    <s v="Metro Tata Motors"/>
    <s v="Tata Motors"/>
    <x v="0"/>
    <x v="10"/>
    <s v="Smart"/>
    <x v="5"/>
    <n v="2"/>
    <n v="950000"/>
    <n v="938189.36"/>
    <n v="12.5"/>
    <n v="0"/>
    <n v="1876378.72"/>
    <n v="234547.34"/>
    <n v="1641831.38"/>
    <s v="Not achive"/>
  </r>
  <r>
    <n v="800631"/>
    <x v="36"/>
    <x v="0"/>
    <x v="7"/>
    <s v="Howrah"/>
    <x v="1"/>
    <s v="Sai Service Tata"/>
    <s v="Tata Motors"/>
    <x v="0"/>
    <x v="3"/>
    <s v="Creative"/>
    <x v="7"/>
    <n v="3"/>
    <n v="1200000"/>
    <n v="1185643.73"/>
    <n v="10"/>
    <n v="0"/>
    <n v="3556931.19"/>
    <n v="355693.12"/>
    <n v="3201238.07"/>
    <s v="Achive"/>
  </r>
  <r>
    <n v="800638"/>
    <x v="36"/>
    <x v="0"/>
    <x v="0"/>
    <s v="Gaya"/>
    <x v="0"/>
    <s v="Metro Tata Motors"/>
    <s v="Tata Motors"/>
    <x v="2"/>
    <x v="2"/>
    <s v="AC Cabin"/>
    <x v="1"/>
    <n v="2"/>
    <n v="800000"/>
    <n v="800873.7"/>
    <n v="5"/>
    <n v="0"/>
    <n v="1601747.4"/>
    <n v="80087.37"/>
    <n v="1521660.03"/>
    <s v="Not achive"/>
  </r>
  <r>
    <n v="800277"/>
    <x v="37"/>
    <x v="3"/>
    <x v="9"/>
    <s v="Jaipur"/>
    <x v="0"/>
    <s v="Statesman Cars"/>
    <s v="Tata Motors"/>
    <x v="0"/>
    <x v="10"/>
    <s v="Fearless+"/>
    <x v="2"/>
    <n v="1"/>
    <n v="950000"/>
    <n v="937973.48"/>
    <n v="7.5"/>
    <n v="0"/>
    <n v="937973.48"/>
    <n v="70348.009999999995"/>
    <n v="867625.47"/>
    <s v="Not achive"/>
  </r>
  <r>
    <n v="800294"/>
    <x v="37"/>
    <x v="1"/>
    <x v="13"/>
    <s v="Thiruvananthapuram"/>
    <x v="2"/>
    <s v="Prerna Automobiles"/>
    <s v="Tata Motors"/>
    <x v="0"/>
    <x v="4"/>
    <s v="XM"/>
    <x v="1"/>
    <n v="2"/>
    <n v="800000"/>
    <n v="786776.8"/>
    <n v="10"/>
    <n v="0"/>
    <n v="1573553.6"/>
    <n v="157355.35999999999"/>
    <n v="1416198.24"/>
    <s v="Not achive"/>
  </r>
  <r>
    <n v="800309"/>
    <x v="37"/>
    <x v="1"/>
    <x v="8"/>
    <s v="Mysuru"/>
    <x v="2"/>
    <s v="Landmark Motors"/>
    <s v="Tata Motors"/>
    <x v="0"/>
    <x v="3"/>
    <s v="Creative"/>
    <x v="8"/>
    <n v="1"/>
    <n v="1200000"/>
    <n v="1198576.73"/>
    <n v="0"/>
    <n v="0"/>
    <n v="1198576.73"/>
    <n v="0"/>
    <n v="1198576.73"/>
    <s v="Not achive"/>
  </r>
  <r>
    <n v="800404"/>
    <x v="37"/>
    <x v="3"/>
    <x v="9"/>
    <s v="Jodhpur"/>
    <x v="1"/>
    <s v="Metro Tata Motors"/>
    <s v="Tata Motors"/>
    <x v="3"/>
    <x v="11"/>
    <s v="Empowered"/>
    <x v="3"/>
    <n v="2"/>
    <n v="1800000"/>
    <n v="1827803.08"/>
    <n v="12.5"/>
    <n v="0"/>
    <n v="3655606.16"/>
    <n v="456950.77"/>
    <n v="3198655.39"/>
    <s v="Achive"/>
  </r>
  <r>
    <n v="800238"/>
    <x v="38"/>
    <x v="1"/>
    <x v="2"/>
    <s v="Coimbatore"/>
    <x v="3"/>
    <s v="Landmark Motors"/>
    <s v="Tata Motors"/>
    <x v="3"/>
    <x v="8"/>
    <s v="Empowered"/>
    <x v="5"/>
    <n v="3"/>
    <n v="1500000"/>
    <n v="1507458.1"/>
    <n v="2"/>
    <n v="0"/>
    <n v="4522374.3"/>
    <n v="90447.49"/>
    <n v="4431926.8099999996"/>
    <s v="Achive"/>
  </r>
  <r>
    <n v="800261"/>
    <x v="38"/>
    <x v="0"/>
    <x v="7"/>
    <s v="Howrah"/>
    <x v="0"/>
    <s v="Concorde Tata"/>
    <s v="Tata Motors"/>
    <x v="3"/>
    <x v="11"/>
    <s v="Accomplished"/>
    <x v="8"/>
    <n v="2"/>
    <n v="1800000"/>
    <n v="1773747.69"/>
    <n v="5"/>
    <n v="0"/>
    <n v="3547495.38"/>
    <n v="177374.77"/>
    <n v="3370120.61"/>
    <s v="Achive"/>
  </r>
  <r>
    <n v="800596"/>
    <x v="38"/>
    <x v="1"/>
    <x v="2"/>
    <s v="Coimbatore"/>
    <x v="3"/>
    <s v="Prerna Automobiles"/>
    <s v="Tata Motors"/>
    <x v="0"/>
    <x v="0"/>
    <s v="XZ+"/>
    <x v="3"/>
    <n v="1"/>
    <n v="750000"/>
    <n v="747073.41"/>
    <n v="5"/>
    <n v="0"/>
    <n v="747073.41"/>
    <n v="37353.67"/>
    <n v="709719.74"/>
    <s v="Not achive"/>
  </r>
  <r>
    <n v="800234"/>
    <x v="39"/>
    <x v="0"/>
    <x v="0"/>
    <s v="Patna"/>
    <x v="0"/>
    <s v="Om Sai Auto Hub"/>
    <s v="Tata Motors"/>
    <x v="0"/>
    <x v="13"/>
    <s v="Pure"/>
    <x v="9"/>
    <n v="2"/>
    <n v="1900000"/>
    <n v="1933274.14"/>
    <n v="7.5"/>
    <n v="0"/>
    <n v="3866548.28"/>
    <n v="289991.12"/>
    <n v="3576557.16"/>
    <s v="Achive"/>
  </r>
  <r>
    <n v="800321"/>
    <x v="39"/>
    <x v="2"/>
    <x v="11"/>
    <s v="New Delhi"/>
    <x v="3"/>
    <s v="Reliance Trishakti"/>
    <s v="Tata Motors"/>
    <x v="0"/>
    <x v="7"/>
    <s v="Smart"/>
    <x v="9"/>
    <n v="2"/>
    <n v="1700000"/>
    <n v="1725034.85"/>
    <n v="5"/>
    <n v="0"/>
    <n v="3450069.7"/>
    <n v="172503.48"/>
    <n v="3277566.22"/>
    <s v="Achive"/>
  </r>
  <r>
    <n v="800120"/>
    <x v="40"/>
    <x v="3"/>
    <x v="6"/>
    <s v="Surat"/>
    <x v="4"/>
    <s v="Metro Tata Motors"/>
    <s v="Tata Motors"/>
    <x v="3"/>
    <x v="8"/>
    <s v="Fearless"/>
    <x v="7"/>
    <n v="1"/>
    <n v="1500000"/>
    <n v="1514192.02"/>
    <n v="7.5"/>
    <n v="0"/>
    <n v="1514192.02"/>
    <n v="113564.4"/>
    <n v="1400627.62"/>
    <s v="Not achive"/>
  </r>
  <r>
    <n v="800412"/>
    <x v="40"/>
    <x v="0"/>
    <x v="0"/>
    <s v="Patna"/>
    <x v="3"/>
    <s v="Metro Tata Motors"/>
    <s v="Tata Motors"/>
    <x v="1"/>
    <x v="1"/>
    <s v="CNG"/>
    <x v="8"/>
    <n v="6"/>
    <n v="550000"/>
    <n v="560849.72"/>
    <n v="2"/>
    <n v="0"/>
    <n v="3365098.32"/>
    <n v="67301.97"/>
    <n v="3297796.35"/>
    <s v="Achive"/>
  </r>
  <r>
    <n v="800586"/>
    <x v="41"/>
    <x v="0"/>
    <x v="7"/>
    <s v="Kolkata"/>
    <x v="0"/>
    <s v="National Tata Dealership"/>
    <s v="Tata Motors"/>
    <x v="0"/>
    <x v="14"/>
    <s v="XT"/>
    <x v="6"/>
    <n v="3"/>
    <n v="650000"/>
    <n v="643184.78"/>
    <n v="0"/>
    <n v="0"/>
    <n v="1929554.34"/>
    <n v="0"/>
    <n v="1929554.34"/>
    <s v="Not achive"/>
  </r>
  <r>
    <n v="800602"/>
    <x v="41"/>
    <x v="1"/>
    <x v="5"/>
    <s v="Hyderabad"/>
    <x v="4"/>
    <s v="Concorde Tata"/>
    <s v="Tata Motors"/>
    <x v="2"/>
    <x v="2"/>
    <s v="AC Cabin"/>
    <x v="1"/>
    <n v="6"/>
    <n v="800000"/>
    <n v="792518.45"/>
    <n v="7.5"/>
    <n v="0"/>
    <n v="4755110.7"/>
    <n v="356633.3"/>
    <n v="4398477.4000000004"/>
    <s v="Achive"/>
  </r>
  <r>
    <n v="800316"/>
    <x v="42"/>
    <x v="2"/>
    <x v="4"/>
    <s v="Panipat"/>
    <x v="2"/>
    <s v="Reliance Trishakti"/>
    <s v="Tata Motors"/>
    <x v="3"/>
    <x v="11"/>
    <s v="Accomplished"/>
    <x v="7"/>
    <n v="3"/>
    <n v="1800000"/>
    <n v="1809065.37"/>
    <n v="10"/>
    <n v="0"/>
    <n v="5427196.1100000003"/>
    <n v="542719.61"/>
    <n v="4884476.5"/>
    <s v="Achive"/>
  </r>
  <r>
    <n v="800519"/>
    <x v="43"/>
    <x v="3"/>
    <x v="10"/>
    <s v="Nagpur"/>
    <x v="2"/>
    <s v="Sunrise Tata Showroom"/>
    <s v="Tata Motors"/>
    <x v="2"/>
    <x v="2"/>
    <s v="Base"/>
    <x v="1"/>
    <n v="5"/>
    <n v="800000"/>
    <n v="782827.58"/>
    <n v="0"/>
    <n v="0"/>
    <n v="3914137.9"/>
    <n v="0"/>
    <n v="3914137.9"/>
    <s v="Achive"/>
  </r>
  <r>
    <n v="800050"/>
    <x v="44"/>
    <x v="2"/>
    <x v="3"/>
    <s v="Noida"/>
    <x v="4"/>
    <s v="Big Wheels Auto"/>
    <s v="Tata Motors"/>
    <x v="0"/>
    <x v="4"/>
    <s v="XZ+"/>
    <x v="7"/>
    <n v="3"/>
    <n v="800000"/>
    <n v="804734.29"/>
    <n v="0"/>
    <n v="0"/>
    <n v="2414202.87"/>
    <n v="0"/>
    <n v="2414202.87"/>
    <s v="Achive"/>
  </r>
  <r>
    <n v="800156"/>
    <x v="44"/>
    <x v="3"/>
    <x v="9"/>
    <s v="Jodhpur"/>
    <x v="2"/>
    <s v="Landmark Motors"/>
    <s v="Tata Motors"/>
    <x v="3"/>
    <x v="5"/>
    <s v="Adventure"/>
    <x v="7"/>
    <n v="3"/>
    <n v="1200000"/>
    <n v="1204351.24"/>
    <n v="5"/>
    <n v="0"/>
    <n v="3613053.72"/>
    <n v="180652.69"/>
    <n v="3432401.03"/>
    <s v="Achive"/>
  </r>
  <r>
    <n v="800318"/>
    <x v="45"/>
    <x v="1"/>
    <x v="8"/>
    <s v="Hubli"/>
    <x v="1"/>
    <s v="Capital Cars"/>
    <s v="Tata Motors"/>
    <x v="2"/>
    <x v="9"/>
    <s v="Base"/>
    <x v="1"/>
    <n v="3"/>
    <n v="1000000"/>
    <n v="981725.26"/>
    <n v="0"/>
    <n v="0"/>
    <n v="2945175.78"/>
    <n v="0"/>
    <n v="2945175.78"/>
    <s v="Achive"/>
  </r>
  <r>
    <n v="800538"/>
    <x v="45"/>
    <x v="0"/>
    <x v="7"/>
    <s v="Kolkata"/>
    <x v="2"/>
    <s v="National Tata Dealership"/>
    <s v="Tata Motors"/>
    <x v="2"/>
    <x v="9"/>
    <s v="CX"/>
    <x v="0"/>
    <n v="5"/>
    <n v="1000000"/>
    <n v="1017266.11"/>
    <n v="7.5"/>
    <n v="0"/>
    <n v="5086330.55"/>
    <n v="381474.79"/>
    <n v="4704855.76"/>
    <s v="Achive"/>
  </r>
  <r>
    <n v="800012"/>
    <x v="46"/>
    <x v="2"/>
    <x v="4"/>
    <s v="Faridabad"/>
    <x v="3"/>
    <s v="Big Wheels Auto"/>
    <s v="Tata Motors"/>
    <x v="1"/>
    <x v="1"/>
    <s v="Base"/>
    <x v="3"/>
    <n v="5"/>
    <n v="550000"/>
    <n v="558758.56999999995"/>
    <n v="7.5"/>
    <n v="0"/>
    <n v="2793792.85"/>
    <n v="209534.46"/>
    <n v="2584258.39"/>
    <s v="Achive"/>
  </r>
  <r>
    <n v="800184"/>
    <x v="46"/>
    <x v="1"/>
    <x v="5"/>
    <s v="Warangal"/>
    <x v="1"/>
    <s v="Metro Tata Motors"/>
    <s v="Tata Motors"/>
    <x v="2"/>
    <x v="2"/>
    <s v="Base"/>
    <x v="8"/>
    <n v="4"/>
    <n v="800000"/>
    <n v="789846.39"/>
    <n v="5"/>
    <n v="0"/>
    <n v="3159385.56"/>
    <n v="157969.28"/>
    <n v="3001416.28"/>
    <s v="Achive"/>
  </r>
  <r>
    <n v="800228"/>
    <x v="46"/>
    <x v="1"/>
    <x v="2"/>
    <s v="Coimbatore"/>
    <x v="3"/>
    <s v="Om Sai Auto Hub"/>
    <s v="Tata Motors"/>
    <x v="3"/>
    <x v="5"/>
    <s v="Smart"/>
    <x v="1"/>
    <n v="3"/>
    <n v="1200000"/>
    <n v="1208551.1000000001"/>
    <n v="12.5"/>
    <n v="0"/>
    <n v="3625653.3"/>
    <n v="453206.66"/>
    <n v="3172446.64"/>
    <s v="Achive"/>
  </r>
  <r>
    <n v="800244"/>
    <x v="46"/>
    <x v="2"/>
    <x v="4"/>
    <s v="Faridabad"/>
    <x v="1"/>
    <s v="National Tata Dealership"/>
    <s v="Tata Motors"/>
    <x v="3"/>
    <x v="11"/>
    <s v="Creative"/>
    <x v="6"/>
    <n v="2"/>
    <n v="1800000"/>
    <n v="1804155.28"/>
    <n v="2"/>
    <n v="0"/>
    <n v="3608310.56"/>
    <n v="72166.210000000006"/>
    <n v="3536144.35"/>
    <s v="Achive"/>
  </r>
  <r>
    <n v="800345"/>
    <x v="47"/>
    <x v="2"/>
    <x v="11"/>
    <s v="Dwarka"/>
    <x v="0"/>
    <s v="Prerna Automobiles"/>
    <s v="Tata Motors"/>
    <x v="2"/>
    <x v="9"/>
    <s v="Base"/>
    <x v="0"/>
    <n v="6"/>
    <n v="1000000"/>
    <n v="1014283.01"/>
    <n v="10"/>
    <n v="0"/>
    <n v="6085698.0599999996"/>
    <n v="608569.81000000006"/>
    <n v="5477128.25"/>
    <s v="Achive"/>
  </r>
  <r>
    <n v="800640"/>
    <x v="47"/>
    <x v="2"/>
    <x v="11"/>
    <s v="Dwarka"/>
    <x v="4"/>
    <s v="Big Wheels Auto"/>
    <s v="Tata Motors"/>
    <x v="0"/>
    <x v="7"/>
    <s v="Smart"/>
    <x v="4"/>
    <n v="3"/>
    <n v="1700000"/>
    <n v="1651717.45"/>
    <n v="0"/>
    <n v="0"/>
    <n v="4955152.3499999996"/>
    <n v="0"/>
    <n v="4955152.3499999996"/>
    <s v="Achive"/>
  </r>
  <r>
    <n v="800320"/>
    <x v="48"/>
    <x v="1"/>
    <x v="5"/>
    <s v="Hyderabad"/>
    <x v="2"/>
    <s v="Statesman Cars"/>
    <s v="Tata Motors"/>
    <x v="2"/>
    <x v="2"/>
    <s v="Base"/>
    <x v="5"/>
    <n v="3"/>
    <n v="800000"/>
    <n v="808063.84"/>
    <n v="7.5"/>
    <n v="0"/>
    <n v="2424191.52"/>
    <n v="181814.36"/>
    <n v="2242377.16"/>
    <s v="Achive"/>
  </r>
  <r>
    <n v="800572"/>
    <x v="48"/>
    <x v="2"/>
    <x v="12"/>
    <s v="Amritsar"/>
    <x v="1"/>
    <s v="Statesman Cars"/>
    <s v="Tata Motors"/>
    <x v="0"/>
    <x v="3"/>
    <s v="Creative"/>
    <x v="5"/>
    <n v="3"/>
    <n v="1200000"/>
    <n v="1207328.19"/>
    <n v="0"/>
    <n v="0"/>
    <n v="3621984.57"/>
    <n v="0"/>
    <n v="3621984.57"/>
    <s v="Achive"/>
  </r>
  <r>
    <n v="800110"/>
    <x v="49"/>
    <x v="2"/>
    <x v="3"/>
    <s v="Noida"/>
    <x v="1"/>
    <s v="Landmark Motors"/>
    <s v="Tata Motors"/>
    <x v="0"/>
    <x v="14"/>
    <s v="XE"/>
    <x v="5"/>
    <n v="1"/>
    <n v="650000"/>
    <n v="655438.86"/>
    <n v="5"/>
    <n v="0"/>
    <n v="655438.86"/>
    <n v="32771.94"/>
    <n v="622666.92000000004"/>
    <s v="Not achive"/>
  </r>
  <r>
    <n v="800095"/>
    <x v="50"/>
    <x v="3"/>
    <x v="10"/>
    <s v="Pune"/>
    <x v="2"/>
    <s v="Reliance Trishakti"/>
    <s v="Tata Motors"/>
    <x v="0"/>
    <x v="6"/>
    <s v="Creative+"/>
    <x v="7"/>
    <n v="1"/>
    <n v="700000"/>
    <n v="680770.25"/>
    <n v="7.5"/>
    <n v="0"/>
    <n v="680770.25"/>
    <n v="51057.77"/>
    <n v="629712.48"/>
    <s v="Not achive"/>
  </r>
  <r>
    <n v="800232"/>
    <x v="50"/>
    <x v="1"/>
    <x v="13"/>
    <s v="Thiruvananthapuram"/>
    <x v="1"/>
    <s v="Sunrise Tata Showroom"/>
    <s v="Tata Motors"/>
    <x v="2"/>
    <x v="2"/>
    <s v="Base"/>
    <x v="4"/>
    <n v="4"/>
    <n v="800000"/>
    <n v="812750.75"/>
    <n v="5"/>
    <n v="0"/>
    <n v="3251003"/>
    <n v="162550.15"/>
    <n v="3088452.85"/>
    <s v="Achive"/>
  </r>
  <r>
    <n v="800402"/>
    <x v="50"/>
    <x v="2"/>
    <x v="11"/>
    <s v="Dwarka"/>
    <x v="1"/>
    <s v="Statesman Cars"/>
    <s v="Tata Motors"/>
    <x v="0"/>
    <x v="0"/>
    <s v="XZ+"/>
    <x v="6"/>
    <n v="2"/>
    <n v="750000"/>
    <n v="736100.85"/>
    <n v="5"/>
    <n v="0"/>
    <n v="1472201.7"/>
    <n v="73610.09"/>
    <n v="1398591.61"/>
    <s v="Not achive"/>
  </r>
  <r>
    <n v="800147"/>
    <x v="51"/>
    <x v="3"/>
    <x v="6"/>
    <s v="Ahmedabad"/>
    <x v="2"/>
    <s v="Capital Cars"/>
    <s v="Tata Motors"/>
    <x v="0"/>
    <x v="3"/>
    <s v="Accomplished"/>
    <x v="3"/>
    <n v="2"/>
    <n v="1200000"/>
    <n v="1171700.08"/>
    <n v="0"/>
    <n v="0"/>
    <n v="2343400.16"/>
    <n v="0"/>
    <n v="2343400.16"/>
    <s v="Achive"/>
  </r>
  <r>
    <n v="800372"/>
    <x v="51"/>
    <x v="0"/>
    <x v="0"/>
    <s v="Patna"/>
    <x v="3"/>
    <s v="Capital Cars"/>
    <s v="Tata Motors"/>
    <x v="2"/>
    <x v="9"/>
    <s v="Base"/>
    <x v="3"/>
    <n v="5"/>
    <n v="1000000"/>
    <n v="1007619.16"/>
    <n v="0"/>
    <n v="0"/>
    <n v="5038095.8"/>
    <n v="0"/>
    <n v="5038095.8"/>
    <s v="Achive"/>
  </r>
  <r>
    <n v="800535"/>
    <x v="52"/>
    <x v="0"/>
    <x v="1"/>
    <s v="Cuttack"/>
    <x v="0"/>
    <s v="Capital Cars"/>
    <s v="Tata Motors"/>
    <x v="0"/>
    <x v="6"/>
    <s v="Pure"/>
    <x v="3"/>
    <n v="1"/>
    <n v="700000"/>
    <n v="703260.59"/>
    <n v="10"/>
    <n v="0"/>
    <n v="703260.59"/>
    <n v="70326.06"/>
    <n v="632934.53"/>
    <s v="Not achive"/>
  </r>
  <r>
    <n v="800312"/>
    <x v="53"/>
    <x v="1"/>
    <x v="8"/>
    <s v="Hubli"/>
    <x v="2"/>
    <s v="Sunrise Tata Showroom"/>
    <s v="Tata Motors"/>
    <x v="3"/>
    <x v="5"/>
    <s v="Adventure"/>
    <x v="3"/>
    <n v="3"/>
    <n v="1200000"/>
    <n v="1195447.06"/>
    <n v="10"/>
    <n v="0"/>
    <n v="3586341.18"/>
    <n v="358634.12"/>
    <n v="3227707.06"/>
    <s v="Achive"/>
  </r>
  <r>
    <n v="800334"/>
    <x v="53"/>
    <x v="1"/>
    <x v="5"/>
    <s v="Warangal"/>
    <x v="1"/>
    <s v="Sai Service Tata"/>
    <s v="Tata Motors"/>
    <x v="1"/>
    <x v="1"/>
    <s v="Base"/>
    <x v="5"/>
    <n v="4"/>
    <n v="550000"/>
    <n v="559998.81999999995"/>
    <n v="5"/>
    <n v="0"/>
    <n v="2239995.2799999998"/>
    <n v="111999.76"/>
    <n v="2127995.52"/>
    <s v="Achive"/>
  </r>
  <r>
    <n v="800394"/>
    <x v="53"/>
    <x v="3"/>
    <x v="9"/>
    <s v="Jodhpur"/>
    <x v="0"/>
    <s v="Prerna Automobiles"/>
    <s v="Tata Motors"/>
    <x v="0"/>
    <x v="4"/>
    <s v="XZ+"/>
    <x v="4"/>
    <n v="2"/>
    <n v="800000"/>
    <n v="808226.73"/>
    <n v="0"/>
    <n v="0"/>
    <n v="1616453.46"/>
    <n v="0"/>
    <n v="1616453.46"/>
    <s v="Not achive"/>
  </r>
  <r>
    <n v="800463"/>
    <x v="53"/>
    <x v="1"/>
    <x v="2"/>
    <s v="Chennai"/>
    <x v="4"/>
    <s v="Big Wheels Auto"/>
    <s v="Tata Motors"/>
    <x v="0"/>
    <x v="10"/>
    <s v="Creative"/>
    <x v="2"/>
    <n v="2"/>
    <n v="950000"/>
    <n v="961557.21"/>
    <n v="0"/>
    <n v="0"/>
    <n v="1923114.42"/>
    <n v="0"/>
    <n v="1923114.42"/>
    <s v="Not achive"/>
  </r>
  <r>
    <n v="800403"/>
    <x v="54"/>
    <x v="3"/>
    <x v="9"/>
    <s v="Jaipur"/>
    <x v="2"/>
    <s v="Landmark Motors"/>
    <s v="Tata Motors"/>
    <x v="0"/>
    <x v="7"/>
    <s v="Pure"/>
    <x v="9"/>
    <n v="2"/>
    <n v="1700000"/>
    <n v="1688711.45"/>
    <n v="5"/>
    <n v="0"/>
    <n v="3377422.9"/>
    <n v="168871.14"/>
    <n v="3208551.76"/>
    <s v="Achive"/>
  </r>
  <r>
    <n v="800491"/>
    <x v="54"/>
    <x v="0"/>
    <x v="0"/>
    <s v="Gaya"/>
    <x v="3"/>
    <s v="Statesman Cars"/>
    <s v="Tata Motors"/>
    <x v="0"/>
    <x v="14"/>
    <s v="XE"/>
    <x v="0"/>
    <n v="1"/>
    <n v="650000"/>
    <n v="653943.53"/>
    <n v="12.5"/>
    <n v="0"/>
    <n v="653943.53"/>
    <n v="81742.94"/>
    <n v="572200.59"/>
    <s v="Not achive"/>
  </r>
  <r>
    <n v="800129"/>
    <x v="55"/>
    <x v="1"/>
    <x v="8"/>
    <s v="Hubli"/>
    <x v="4"/>
    <s v="Concorde Tata"/>
    <s v="Tata Motors"/>
    <x v="2"/>
    <x v="2"/>
    <s v="AC Cabin"/>
    <x v="4"/>
    <n v="2"/>
    <n v="800000"/>
    <n v="777532.13"/>
    <n v="12.5"/>
    <n v="0"/>
    <n v="1555064.26"/>
    <n v="194383.03"/>
    <n v="1360681.23"/>
    <s v="Not achive"/>
  </r>
  <r>
    <n v="800214"/>
    <x v="55"/>
    <x v="3"/>
    <x v="9"/>
    <s v="Jaipur"/>
    <x v="0"/>
    <s v="Sai Service Tata"/>
    <s v="Tata Motors"/>
    <x v="0"/>
    <x v="6"/>
    <s v="Adventure"/>
    <x v="5"/>
    <n v="3"/>
    <n v="700000"/>
    <n v="681420.55"/>
    <n v="10"/>
    <n v="0"/>
    <n v="2044261.65"/>
    <n v="204426.17"/>
    <n v="1839835.48"/>
    <s v="Not achive"/>
  </r>
  <r>
    <n v="800263"/>
    <x v="55"/>
    <x v="1"/>
    <x v="13"/>
    <s v="Kochi"/>
    <x v="2"/>
    <s v="Metro Tata Motors"/>
    <s v="Tata Motors"/>
    <x v="2"/>
    <x v="2"/>
    <s v="AC Cabin"/>
    <x v="3"/>
    <n v="6"/>
    <n v="800000"/>
    <n v="798004.84"/>
    <n v="0"/>
    <n v="0"/>
    <n v="4788029.04"/>
    <n v="0"/>
    <n v="4788029.04"/>
    <s v="Achive"/>
  </r>
  <r>
    <n v="800486"/>
    <x v="55"/>
    <x v="3"/>
    <x v="6"/>
    <s v="Surat"/>
    <x v="2"/>
    <s v="National Tata Dealership"/>
    <s v="Tata Motors"/>
    <x v="0"/>
    <x v="0"/>
    <s v="XZ+"/>
    <x v="7"/>
    <n v="2"/>
    <n v="750000"/>
    <n v="739777.81"/>
    <n v="0"/>
    <n v="0"/>
    <n v="1479555.62"/>
    <n v="0"/>
    <n v="1479555.62"/>
    <s v="Not achive"/>
  </r>
  <r>
    <n v="800218"/>
    <x v="56"/>
    <x v="0"/>
    <x v="1"/>
    <s v="Cuttack"/>
    <x v="4"/>
    <s v="Landmark Motors"/>
    <s v="Tata Motors"/>
    <x v="0"/>
    <x v="3"/>
    <s v="Smart"/>
    <x v="5"/>
    <n v="2"/>
    <n v="1200000"/>
    <n v="1219232.8500000001"/>
    <n v="0"/>
    <n v="0"/>
    <n v="2438465.7000000002"/>
    <n v="0"/>
    <n v="2438465.7000000002"/>
    <s v="Achive"/>
  </r>
  <r>
    <n v="800083"/>
    <x v="57"/>
    <x v="0"/>
    <x v="1"/>
    <s v="Cuttack"/>
    <x v="3"/>
    <s v="Statesman Cars"/>
    <s v="Tata Motors"/>
    <x v="0"/>
    <x v="0"/>
    <s v="XZ+"/>
    <x v="6"/>
    <n v="3"/>
    <n v="750000"/>
    <n v="753117.55"/>
    <n v="12.5"/>
    <n v="0"/>
    <n v="2259352.65"/>
    <n v="282419.08"/>
    <n v="1976933.57"/>
    <s v="Not achive"/>
  </r>
  <r>
    <n v="800152"/>
    <x v="57"/>
    <x v="0"/>
    <x v="7"/>
    <s v="Howrah"/>
    <x v="2"/>
    <s v="Sai Service Tata"/>
    <s v="Tata Motors"/>
    <x v="0"/>
    <x v="14"/>
    <s v="XE"/>
    <x v="1"/>
    <n v="2"/>
    <n v="650000"/>
    <n v="646238.16"/>
    <n v="2"/>
    <n v="0"/>
    <n v="1292476.32"/>
    <n v="25849.53"/>
    <n v="1266626.79"/>
    <s v="Not achive"/>
  </r>
  <r>
    <n v="800096"/>
    <x v="58"/>
    <x v="3"/>
    <x v="10"/>
    <s v="Nashik"/>
    <x v="3"/>
    <s v="National Tata Dealership"/>
    <s v="Tata Motors"/>
    <x v="0"/>
    <x v="6"/>
    <s v="Pure"/>
    <x v="9"/>
    <n v="1"/>
    <n v="700000"/>
    <n v="706602.53"/>
    <n v="0"/>
    <n v="0"/>
    <n v="706602.53"/>
    <n v="0"/>
    <n v="706602.53"/>
    <s v="Not achive"/>
  </r>
  <r>
    <n v="800209"/>
    <x v="58"/>
    <x v="0"/>
    <x v="0"/>
    <s v="Patna"/>
    <x v="1"/>
    <s v="Om Sai Auto Hub"/>
    <s v="Tata Motors"/>
    <x v="0"/>
    <x v="4"/>
    <s v="XZ+"/>
    <x v="6"/>
    <n v="1"/>
    <n v="800000"/>
    <n v="781553.6"/>
    <n v="5"/>
    <n v="0"/>
    <n v="781553.6"/>
    <n v="39077.68"/>
    <n v="742475.92"/>
    <s v="Not achive"/>
  </r>
  <r>
    <n v="800447"/>
    <x v="58"/>
    <x v="3"/>
    <x v="6"/>
    <s v="Vadodara"/>
    <x v="1"/>
    <s v="Statesman Cars"/>
    <s v="Tata Motors"/>
    <x v="0"/>
    <x v="10"/>
    <s v="Smart"/>
    <x v="3"/>
    <n v="3"/>
    <n v="950000"/>
    <n v="966558.57"/>
    <n v="0"/>
    <n v="0"/>
    <n v="2899675.71"/>
    <n v="0"/>
    <n v="2899675.71"/>
    <s v="Achive"/>
  </r>
  <r>
    <n v="800273"/>
    <x v="59"/>
    <x v="0"/>
    <x v="0"/>
    <s v="Gaya"/>
    <x v="1"/>
    <s v="Prerna Automobiles"/>
    <s v="Tata Motors"/>
    <x v="1"/>
    <x v="1"/>
    <s v="Base"/>
    <x v="9"/>
    <n v="6"/>
    <n v="550000"/>
    <n v="538380.15"/>
    <n v="7.5"/>
    <n v="0"/>
    <n v="3230280.9"/>
    <n v="242271.07"/>
    <n v="2988009.83"/>
    <s v="Achive"/>
  </r>
  <r>
    <n v="800368"/>
    <x v="59"/>
    <x v="3"/>
    <x v="9"/>
    <s v="Jodhpur"/>
    <x v="2"/>
    <s v="Prerna Automobiles"/>
    <s v="Tata Motors"/>
    <x v="0"/>
    <x v="14"/>
    <s v="XE"/>
    <x v="7"/>
    <n v="3"/>
    <n v="650000"/>
    <n v="635736.69999999995"/>
    <n v="0"/>
    <n v="0"/>
    <n v="1907210.1"/>
    <n v="0"/>
    <n v="1907210.1"/>
    <s v="Not achive"/>
  </r>
  <r>
    <n v="800617"/>
    <x v="59"/>
    <x v="0"/>
    <x v="0"/>
    <s v="Gaya"/>
    <x v="2"/>
    <s v="Capital Cars"/>
    <s v="Tata Motors"/>
    <x v="0"/>
    <x v="10"/>
    <s v="Fearless+"/>
    <x v="3"/>
    <n v="2"/>
    <n v="950000"/>
    <n v="943243.59"/>
    <n v="0"/>
    <n v="0"/>
    <n v="1886487.18"/>
    <n v="0"/>
    <n v="1886487.18"/>
    <s v="Not achive"/>
  </r>
  <r>
    <n v="800470"/>
    <x v="60"/>
    <x v="2"/>
    <x v="4"/>
    <s v="Hisar"/>
    <x v="1"/>
    <s v="Om Sai Auto Hub"/>
    <s v="Tata Motors"/>
    <x v="0"/>
    <x v="14"/>
    <s v="XE"/>
    <x v="7"/>
    <n v="3"/>
    <n v="650000"/>
    <n v="641280.88"/>
    <n v="7.5"/>
    <n v="0"/>
    <n v="1923842.64"/>
    <n v="144288.20000000001"/>
    <n v="1779554.44"/>
    <s v="Not achive"/>
  </r>
  <r>
    <n v="800102"/>
    <x v="61"/>
    <x v="0"/>
    <x v="7"/>
    <s v="Howrah"/>
    <x v="0"/>
    <s v="Metro Tata Motors"/>
    <s v="Tata Motors"/>
    <x v="0"/>
    <x v="13"/>
    <s v="Smart"/>
    <x v="9"/>
    <n v="2"/>
    <n v="1900000"/>
    <n v="1872689.74"/>
    <n v="5"/>
    <n v="0"/>
    <n v="3745379.48"/>
    <n v="187268.97"/>
    <n v="3558110.51"/>
    <s v="Achive"/>
  </r>
  <r>
    <n v="800473"/>
    <x v="61"/>
    <x v="3"/>
    <x v="10"/>
    <s v="Pune"/>
    <x v="2"/>
    <s v="Prerna Automobiles"/>
    <s v="Tata Motors"/>
    <x v="2"/>
    <x v="9"/>
    <s v="Base"/>
    <x v="1"/>
    <n v="5"/>
    <n v="1000000"/>
    <n v="971246.74"/>
    <n v="12.5"/>
    <n v="0"/>
    <n v="4856233.7"/>
    <n v="607029.21"/>
    <n v="4249204.49"/>
    <s v="Achive"/>
  </r>
  <r>
    <n v="800079"/>
    <x v="62"/>
    <x v="3"/>
    <x v="9"/>
    <s v="Jodhpur"/>
    <x v="2"/>
    <s v="Capital Cars"/>
    <s v="Tata Motors"/>
    <x v="0"/>
    <x v="0"/>
    <s v="XZ+"/>
    <x v="1"/>
    <n v="1"/>
    <n v="750000"/>
    <n v="754591.64"/>
    <n v="10"/>
    <n v="0"/>
    <n v="754591.64"/>
    <n v="75459.16"/>
    <n v="679132.48"/>
    <s v="Not achive"/>
  </r>
  <r>
    <n v="800418"/>
    <x v="62"/>
    <x v="1"/>
    <x v="5"/>
    <s v="Hyderabad"/>
    <x v="1"/>
    <s v="Statesman Cars"/>
    <s v="Tata Motors"/>
    <x v="3"/>
    <x v="11"/>
    <s v="Accomplished"/>
    <x v="9"/>
    <n v="3"/>
    <n v="1800000"/>
    <n v="1788155.52"/>
    <n v="0"/>
    <n v="0"/>
    <n v="5364466.5599999996"/>
    <n v="0"/>
    <n v="5364466.5599999996"/>
    <s v="Achive"/>
  </r>
  <r>
    <n v="800563"/>
    <x v="62"/>
    <x v="1"/>
    <x v="8"/>
    <s v="Hubli"/>
    <x v="3"/>
    <s v="Om Sai Auto Hub"/>
    <s v="Tata Motors"/>
    <x v="3"/>
    <x v="5"/>
    <s v="Adventure"/>
    <x v="1"/>
    <n v="2"/>
    <n v="1200000"/>
    <n v="1184418.79"/>
    <n v="0"/>
    <n v="0"/>
    <n v="2368837.58"/>
    <n v="0"/>
    <n v="2368837.58"/>
    <s v="Achive"/>
  </r>
  <r>
    <n v="800236"/>
    <x v="63"/>
    <x v="3"/>
    <x v="9"/>
    <s v="Jodhpur"/>
    <x v="4"/>
    <s v="Reliance Trishakti"/>
    <s v="Tata Motors"/>
    <x v="1"/>
    <x v="1"/>
    <s v="Base"/>
    <x v="0"/>
    <n v="1"/>
    <n v="550000"/>
    <n v="550719.93999999994"/>
    <n v="12.5"/>
    <n v="0"/>
    <n v="550719.93999999994"/>
    <n v="68839.990000000005"/>
    <n v="481879.95"/>
    <s v="Not achive"/>
  </r>
  <r>
    <n v="800274"/>
    <x v="63"/>
    <x v="3"/>
    <x v="10"/>
    <s v="Nashik"/>
    <x v="4"/>
    <s v="Concorde Tata"/>
    <s v="Tata Motors"/>
    <x v="0"/>
    <x v="10"/>
    <s v="Fearless+"/>
    <x v="6"/>
    <n v="3"/>
    <n v="950000"/>
    <n v="926299.03"/>
    <n v="5"/>
    <n v="0"/>
    <n v="2778897.09"/>
    <n v="138944.85"/>
    <n v="2639952.2400000002"/>
    <s v="Achive"/>
  </r>
  <r>
    <n v="800526"/>
    <x v="64"/>
    <x v="3"/>
    <x v="6"/>
    <s v="Ahmedabad"/>
    <x v="3"/>
    <s v="Sunrise Tata Showroom"/>
    <s v="Tata Motors"/>
    <x v="0"/>
    <x v="14"/>
    <s v="XE"/>
    <x v="2"/>
    <n v="1"/>
    <n v="650000"/>
    <n v="652770.42000000004"/>
    <n v="12.5"/>
    <n v="0"/>
    <n v="652770.42000000004"/>
    <n v="81596.3"/>
    <n v="571174.12"/>
    <s v="Not achive"/>
  </r>
  <r>
    <n v="800337"/>
    <x v="65"/>
    <x v="0"/>
    <x v="1"/>
    <s v="Bhubaneswar"/>
    <x v="0"/>
    <s v="Landmark Motors"/>
    <s v="Tata Motors"/>
    <x v="3"/>
    <x v="11"/>
    <s v="Creative"/>
    <x v="0"/>
    <n v="2"/>
    <n v="1800000"/>
    <n v="1759079.4"/>
    <n v="0"/>
    <n v="0"/>
    <n v="3518158.8"/>
    <n v="0"/>
    <n v="3518158.8"/>
    <s v="Achive"/>
  </r>
  <r>
    <n v="800249"/>
    <x v="66"/>
    <x v="0"/>
    <x v="0"/>
    <s v="Gaya"/>
    <x v="1"/>
    <s v="National Tata Dealership"/>
    <s v="Tata Motors"/>
    <x v="0"/>
    <x v="14"/>
    <s v="XT"/>
    <x v="4"/>
    <n v="1"/>
    <n v="650000"/>
    <n v="630911.61"/>
    <n v="0"/>
    <n v="0"/>
    <n v="630911.61"/>
    <n v="0"/>
    <n v="630911.61"/>
    <s v="Not achive"/>
  </r>
  <r>
    <n v="800559"/>
    <x v="66"/>
    <x v="1"/>
    <x v="5"/>
    <s v="Warangal"/>
    <x v="4"/>
    <s v="Reliance Trishakti"/>
    <s v="Tata Motors"/>
    <x v="0"/>
    <x v="7"/>
    <s v="Pure"/>
    <x v="2"/>
    <n v="2"/>
    <n v="1700000"/>
    <n v="1692564.7"/>
    <n v="0"/>
    <n v="0"/>
    <n v="3385129.4"/>
    <n v="0"/>
    <n v="3385129.4"/>
    <s v="Achive"/>
  </r>
  <r>
    <n v="800260"/>
    <x v="67"/>
    <x v="0"/>
    <x v="1"/>
    <s v="Bhubaneswar"/>
    <x v="4"/>
    <s v="Capital Cars"/>
    <s v="Tata Motors"/>
    <x v="3"/>
    <x v="5"/>
    <s v="Smart"/>
    <x v="2"/>
    <n v="1"/>
    <n v="1200000"/>
    <n v="1172166.71"/>
    <n v="0"/>
    <n v="0"/>
    <n v="1172166.71"/>
    <n v="0"/>
    <n v="1172166.71"/>
    <s v="Not achive"/>
  </r>
  <r>
    <n v="800281"/>
    <x v="67"/>
    <x v="3"/>
    <x v="9"/>
    <s v="Jaipur"/>
    <x v="1"/>
    <s v="Concorde Tata"/>
    <s v="Tata Motors"/>
    <x v="0"/>
    <x v="10"/>
    <s v="Fearless+"/>
    <x v="7"/>
    <n v="2"/>
    <n v="950000"/>
    <n v="954963.97"/>
    <n v="10"/>
    <n v="0"/>
    <n v="1909927.94"/>
    <n v="190992.79"/>
    <n v="1718935.15"/>
    <s v="Not achive"/>
  </r>
  <r>
    <n v="800330"/>
    <x v="67"/>
    <x v="0"/>
    <x v="0"/>
    <s v="Patna"/>
    <x v="3"/>
    <s v="Landmark Motors"/>
    <s v="Tata Motors"/>
    <x v="0"/>
    <x v="10"/>
    <s v="Creative"/>
    <x v="5"/>
    <n v="3"/>
    <n v="950000"/>
    <n v="946294.29"/>
    <n v="0"/>
    <n v="1"/>
    <n v="2838882.87"/>
    <n v="0"/>
    <n v="2838882.87"/>
    <s v="Achive"/>
  </r>
  <r>
    <n v="800646"/>
    <x v="67"/>
    <x v="1"/>
    <x v="2"/>
    <s v="Coimbatore"/>
    <x v="3"/>
    <s v="Landmark Motors"/>
    <s v="Tata Motors"/>
    <x v="0"/>
    <x v="13"/>
    <s v="Accomplished+"/>
    <x v="2"/>
    <n v="1"/>
    <n v="1900000"/>
    <n v="1875138.84"/>
    <n v="10"/>
    <n v="0"/>
    <n v="1875138.84"/>
    <n v="187513.88"/>
    <n v="1687624.96"/>
    <s v="Not achive"/>
  </r>
  <r>
    <n v="800251"/>
    <x v="68"/>
    <x v="1"/>
    <x v="2"/>
    <s v="Coimbatore"/>
    <x v="1"/>
    <s v="Reliance Trishakti"/>
    <s v="Tata Motors"/>
    <x v="0"/>
    <x v="0"/>
    <s v="XZ"/>
    <x v="1"/>
    <n v="3"/>
    <n v="750000"/>
    <n v="741004.65"/>
    <n v="12.5"/>
    <n v="0"/>
    <n v="2223013.9500000002"/>
    <n v="277876.74"/>
    <n v="1945137.21"/>
    <s v="Not achive"/>
  </r>
  <r>
    <n v="800642"/>
    <x v="68"/>
    <x v="2"/>
    <x v="11"/>
    <s v="Dwarka"/>
    <x v="0"/>
    <s v="Concorde Tata"/>
    <s v="Tata Motors"/>
    <x v="0"/>
    <x v="0"/>
    <s v="XZ+"/>
    <x v="7"/>
    <n v="1"/>
    <n v="750000"/>
    <n v="758385.38"/>
    <n v="0"/>
    <n v="0"/>
    <n v="758385.38"/>
    <n v="0"/>
    <n v="758385.38"/>
    <s v="Not achive"/>
  </r>
  <r>
    <n v="800149"/>
    <x v="69"/>
    <x v="1"/>
    <x v="2"/>
    <s v="Coimbatore"/>
    <x v="3"/>
    <s v="Reliance Trishakti"/>
    <s v="Tata Motors"/>
    <x v="3"/>
    <x v="11"/>
    <s v="Accomplished"/>
    <x v="4"/>
    <n v="3"/>
    <n v="1800000"/>
    <n v="1773254.21"/>
    <n v="0"/>
    <n v="0"/>
    <n v="5319762.63"/>
    <n v="0"/>
    <n v="5319762.63"/>
    <s v="Achive"/>
  </r>
  <r>
    <n v="800231"/>
    <x v="69"/>
    <x v="1"/>
    <x v="5"/>
    <s v="Hyderabad"/>
    <x v="1"/>
    <s v="Statesman Cars"/>
    <s v="Tata Motors"/>
    <x v="1"/>
    <x v="1"/>
    <s v="Base"/>
    <x v="8"/>
    <n v="1"/>
    <n v="550000"/>
    <n v="549177.04"/>
    <n v="5"/>
    <n v="0"/>
    <n v="549177.04"/>
    <n v="27458.85"/>
    <n v="521718.19"/>
    <s v="Not achive"/>
  </r>
  <r>
    <n v="800630"/>
    <x v="70"/>
    <x v="3"/>
    <x v="10"/>
    <s v="Nagpur"/>
    <x v="1"/>
    <s v="Sunrise Tata Showroom"/>
    <s v="Tata Motors"/>
    <x v="2"/>
    <x v="2"/>
    <s v="Base"/>
    <x v="6"/>
    <n v="5"/>
    <n v="800000"/>
    <n v="776716.61"/>
    <n v="10"/>
    <n v="0"/>
    <n v="3883583.05"/>
    <n v="388358.3"/>
    <n v="3495224.75"/>
    <s v="Achive"/>
  </r>
  <r>
    <n v="800134"/>
    <x v="71"/>
    <x v="1"/>
    <x v="8"/>
    <s v="Bengaluru"/>
    <x v="2"/>
    <s v="National Tata Dealership"/>
    <s v="Tata Motors"/>
    <x v="0"/>
    <x v="13"/>
    <s v="Pure"/>
    <x v="4"/>
    <n v="1"/>
    <n v="1900000"/>
    <n v="1876468.41"/>
    <n v="7.5"/>
    <n v="0"/>
    <n v="1876468.41"/>
    <n v="140735.13"/>
    <n v="1735733.28"/>
    <s v="Not achive"/>
  </r>
  <r>
    <n v="800499"/>
    <x v="71"/>
    <x v="1"/>
    <x v="13"/>
    <s v="Thiruvananthapuram"/>
    <x v="2"/>
    <s v="Sai Service Tata"/>
    <s v="Tata Motors"/>
    <x v="0"/>
    <x v="0"/>
    <s v="XZ+"/>
    <x v="4"/>
    <n v="3"/>
    <n v="750000"/>
    <n v="755211.27"/>
    <n v="12.5"/>
    <n v="0"/>
    <n v="2265633.81"/>
    <n v="283204.23"/>
    <n v="1982429.58"/>
    <s v="Not achive"/>
  </r>
  <r>
    <n v="800011"/>
    <x v="72"/>
    <x v="1"/>
    <x v="13"/>
    <s v="Kochi"/>
    <x v="4"/>
    <s v="Metro Tata Motors"/>
    <s v="Tata Motors"/>
    <x v="0"/>
    <x v="4"/>
    <s v="XM"/>
    <x v="0"/>
    <n v="3"/>
    <n v="800000"/>
    <n v="811034.12"/>
    <n v="5"/>
    <n v="0"/>
    <n v="2433102.36"/>
    <n v="121655.12"/>
    <n v="2311447.2400000002"/>
    <s v="Achive"/>
  </r>
  <r>
    <n v="800509"/>
    <x v="72"/>
    <x v="0"/>
    <x v="7"/>
    <s v="Kolkata"/>
    <x v="4"/>
    <s v="Sunrise Tata Showroom"/>
    <s v="Tata Motors"/>
    <x v="0"/>
    <x v="4"/>
    <s v="XM"/>
    <x v="2"/>
    <n v="2"/>
    <n v="800000"/>
    <n v="815176.88"/>
    <n v="2"/>
    <n v="0"/>
    <n v="1630353.76"/>
    <n v="32607.08"/>
    <n v="1597746.68"/>
    <s v="Not achive"/>
  </r>
  <r>
    <n v="800458"/>
    <x v="73"/>
    <x v="3"/>
    <x v="10"/>
    <s v="Nagpur"/>
    <x v="3"/>
    <s v="Sai Service Tata"/>
    <s v="Tata Motors"/>
    <x v="0"/>
    <x v="14"/>
    <s v="XT"/>
    <x v="5"/>
    <n v="2"/>
    <n v="650000"/>
    <n v="654230.26"/>
    <n v="12.5"/>
    <n v="0"/>
    <n v="1308460.52"/>
    <n v="163557.57"/>
    <n v="1144902.95"/>
    <s v="Not achive"/>
  </r>
  <r>
    <n v="800465"/>
    <x v="73"/>
    <x v="1"/>
    <x v="5"/>
    <s v="Warangal"/>
    <x v="4"/>
    <s v="Om Sai Auto Hub"/>
    <s v="Tata Motors"/>
    <x v="3"/>
    <x v="12"/>
    <s v="XZ+"/>
    <x v="4"/>
    <n v="3"/>
    <n v="1250000"/>
    <n v="1247664.6499999999"/>
    <n v="12.5"/>
    <n v="0"/>
    <n v="3742993.95"/>
    <n v="467874.24"/>
    <n v="3275119.71"/>
    <s v="Achive"/>
  </r>
  <r>
    <n v="800547"/>
    <x v="74"/>
    <x v="3"/>
    <x v="10"/>
    <s v="Nashik"/>
    <x v="3"/>
    <s v="Statesman Cars"/>
    <s v="Tata Motors"/>
    <x v="0"/>
    <x v="6"/>
    <s v="Pure"/>
    <x v="0"/>
    <n v="2"/>
    <n v="700000"/>
    <n v="699108.38"/>
    <n v="12.5"/>
    <n v="0"/>
    <n v="1398216.76"/>
    <n v="174777.1"/>
    <n v="1223439.6599999999"/>
    <s v="Not achive"/>
  </r>
  <r>
    <n v="800366"/>
    <x v="75"/>
    <x v="1"/>
    <x v="5"/>
    <s v="Warangal"/>
    <x v="1"/>
    <s v="Landmark Motors"/>
    <s v="Tata Motors"/>
    <x v="3"/>
    <x v="11"/>
    <s v="Creative"/>
    <x v="1"/>
    <n v="1"/>
    <n v="1800000"/>
    <n v="1766699.17"/>
    <n v="5"/>
    <n v="0"/>
    <n v="1766699.17"/>
    <n v="88334.96"/>
    <n v="1678364.21"/>
    <s v="Not achive"/>
  </r>
  <r>
    <n v="800629"/>
    <x v="75"/>
    <x v="2"/>
    <x v="11"/>
    <s v="Dwarka"/>
    <x v="4"/>
    <s v="Big Wheels Auto"/>
    <s v="Tata Motors"/>
    <x v="3"/>
    <x v="12"/>
    <s v="XZ+"/>
    <x v="1"/>
    <n v="3"/>
    <n v="1250000"/>
    <n v="1262989.6299999999"/>
    <n v="7.5"/>
    <n v="0"/>
    <n v="3788968.89"/>
    <n v="284172.67"/>
    <n v="3504796.22"/>
    <s v="Achive"/>
  </r>
  <r>
    <n v="800406"/>
    <x v="76"/>
    <x v="2"/>
    <x v="12"/>
    <s v="Ludhiana"/>
    <x v="4"/>
    <s v="Landmark Motors"/>
    <s v="Tata Motors"/>
    <x v="1"/>
    <x v="1"/>
    <s v="CNG"/>
    <x v="5"/>
    <n v="5"/>
    <n v="550000"/>
    <n v="539858.42000000004"/>
    <n v="0"/>
    <n v="0"/>
    <n v="2699292.1"/>
    <n v="0"/>
    <n v="2699292.1"/>
    <s v="Achive"/>
  </r>
  <r>
    <n v="800609"/>
    <x v="76"/>
    <x v="1"/>
    <x v="13"/>
    <s v="Thiruvananthapuram"/>
    <x v="0"/>
    <s v="Statesman Cars"/>
    <s v="Tata Motors"/>
    <x v="3"/>
    <x v="8"/>
    <s v="Creative"/>
    <x v="7"/>
    <n v="1"/>
    <n v="1500000"/>
    <n v="1529640.56"/>
    <n v="5"/>
    <n v="0"/>
    <n v="1529640.56"/>
    <n v="76482.03"/>
    <n v="1453158.53"/>
    <s v="Not achive"/>
  </r>
  <r>
    <n v="800017"/>
    <x v="77"/>
    <x v="3"/>
    <x v="6"/>
    <s v="Ahmedabad"/>
    <x v="0"/>
    <s v="Prerna Automobiles"/>
    <s v="Tata Motors"/>
    <x v="3"/>
    <x v="11"/>
    <s v="Creative"/>
    <x v="7"/>
    <n v="3"/>
    <n v="1800000"/>
    <n v="1788540.39"/>
    <n v="12.5"/>
    <n v="0"/>
    <n v="5365621.17"/>
    <n v="670702.65"/>
    <n v="4694918.5199999996"/>
    <s v="Achive"/>
  </r>
  <r>
    <n v="800190"/>
    <x v="77"/>
    <x v="3"/>
    <x v="6"/>
    <s v="Vadodara"/>
    <x v="4"/>
    <s v="Prerna Automobiles"/>
    <s v="Tata Motors"/>
    <x v="0"/>
    <x v="10"/>
    <s v="Fearless+"/>
    <x v="2"/>
    <n v="2"/>
    <n v="950000"/>
    <n v="961738.84"/>
    <n v="0"/>
    <n v="0"/>
    <n v="1923477.68"/>
    <n v="0"/>
    <n v="1923477.68"/>
    <s v="Not achive"/>
  </r>
  <r>
    <n v="800331"/>
    <x v="77"/>
    <x v="0"/>
    <x v="0"/>
    <s v="Gaya"/>
    <x v="2"/>
    <s v="Sunrise Tata Showroom"/>
    <s v="Tata Motors"/>
    <x v="3"/>
    <x v="12"/>
    <s v="XE"/>
    <x v="8"/>
    <n v="1"/>
    <n v="1250000"/>
    <n v="1270638.52"/>
    <n v="10"/>
    <n v="0"/>
    <n v="1270638.52"/>
    <n v="127063.85"/>
    <n v="1143574.67"/>
    <s v="Not achive"/>
  </r>
  <r>
    <n v="800424"/>
    <x v="77"/>
    <x v="2"/>
    <x v="4"/>
    <s v="Gurugram"/>
    <x v="2"/>
    <s v="Sunrise Tata Showroom"/>
    <s v="Tata Motors"/>
    <x v="0"/>
    <x v="0"/>
    <s v="XE"/>
    <x v="3"/>
    <n v="1"/>
    <n v="750000"/>
    <n v="731295.94"/>
    <n v="2"/>
    <n v="0"/>
    <n v="731295.94"/>
    <n v="14625.92"/>
    <n v="716670.02"/>
    <s v="Not achive"/>
  </r>
  <r>
    <n v="800608"/>
    <x v="77"/>
    <x v="3"/>
    <x v="9"/>
    <s v="Jaipur"/>
    <x v="2"/>
    <s v="Sai Service Tata"/>
    <s v="Tata Motors"/>
    <x v="3"/>
    <x v="11"/>
    <s v="Accomplished"/>
    <x v="1"/>
    <n v="3"/>
    <n v="1800000"/>
    <n v="1790473.41"/>
    <n v="2"/>
    <n v="0"/>
    <n v="5371420.2300000004"/>
    <n v="107428.4"/>
    <n v="5263991.83"/>
    <s v="Achive"/>
  </r>
  <r>
    <n v="800036"/>
    <x v="78"/>
    <x v="1"/>
    <x v="13"/>
    <s v="Kochi"/>
    <x v="4"/>
    <s v="Om Sai Auto Hub"/>
    <s v="Tata Motors"/>
    <x v="3"/>
    <x v="5"/>
    <s v="Empowered"/>
    <x v="6"/>
    <n v="2"/>
    <n v="1200000"/>
    <n v="1188144.02"/>
    <n v="5"/>
    <n v="0"/>
    <n v="2376288.04"/>
    <n v="118814.39999999999"/>
    <n v="2257473.64"/>
    <s v="Achive"/>
  </r>
  <r>
    <n v="800340"/>
    <x v="79"/>
    <x v="2"/>
    <x v="4"/>
    <s v="Faridabad"/>
    <x v="1"/>
    <s v="Capital Cars"/>
    <s v="Tata Motors"/>
    <x v="2"/>
    <x v="2"/>
    <s v="Base"/>
    <x v="9"/>
    <n v="5"/>
    <n v="800000"/>
    <n v="797864.61"/>
    <n v="2"/>
    <n v="0"/>
    <n v="3989323.05"/>
    <n v="79786.460000000006"/>
    <n v="3909536.59"/>
    <s v="Achive"/>
  </r>
  <r>
    <n v="800468"/>
    <x v="79"/>
    <x v="1"/>
    <x v="13"/>
    <s v="Thiruvananthapuram"/>
    <x v="2"/>
    <s v="Concorde Tata"/>
    <s v="Tata Motors"/>
    <x v="0"/>
    <x v="7"/>
    <s v="Pure"/>
    <x v="9"/>
    <n v="2"/>
    <n v="1700000"/>
    <n v="1710573.71"/>
    <n v="0"/>
    <n v="0"/>
    <n v="3421147.42"/>
    <n v="0"/>
    <n v="3421147.42"/>
    <s v="Achive"/>
  </r>
  <r>
    <n v="800222"/>
    <x v="80"/>
    <x v="0"/>
    <x v="0"/>
    <s v="Patna"/>
    <x v="3"/>
    <s v="Sunrise Tata Showroom"/>
    <s v="Tata Motors"/>
    <x v="1"/>
    <x v="1"/>
    <s v="Base"/>
    <x v="7"/>
    <n v="1"/>
    <n v="550000"/>
    <n v="555486.31000000006"/>
    <n v="0"/>
    <n v="0"/>
    <n v="555486.31000000006"/>
    <n v="0"/>
    <n v="555486.31000000006"/>
    <s v="Not achive"/>
  </r>
  <r>
    <n v="800575"/>
    <x v="81"/>
    <x v="2"/>
    <x v="11"/>
    <s v="New Delhi"/>
    <x v="0"/>
    <s v="Metro Tata Motors"/>
    <s v="Tata Motors"/>
    <x v="0"/>
    <x v="13"/>
    <s v="Accomplished+"/>
    <x v="2"/>
    <n v="3"/>
    <n v="1900000"/>
    <n v="1930902.58"/>
    <n v="0"/>
    <n v="0"/>
    <n v="5792707.7400000002"/>
    <n v="0"/>
    <n v="5792707.7400000002"/>
    <s v="Achive"/>
  </r>
  <r>
    <n v="800605"/>
    <x v="81"/>
    <x v="3"/>
    <x v="9"/>
    <s v="Jodhpur"/>
    <x v="4"/>
    <s v="Capital Cars"/>
    <s v="Tata Motors"/>
    <x v="0"/>
    <x v="3"/>
    <s v="Accomplished"/>
    <x v="4"/>
    <n v="2"/>
    <n v="1200000"/>
    <n v="1174408.74"/>
    <n v="7.5"/>
    <n v="0"/>
    <n v="2348817.48"/>
    <n v="176161.31"/>
    <n v="2172656.17"/>
    <s v="Achive"/>
  </r>
  <r>
    <n v="800387"/>
    <x v="82"/>
    <x v="2"/>
    <x v="3"/>
    <s v="Noida"/>
    <x v="4"/>
    <s v="Big Wheels Auto"/>
    <s v="Tata Motors"/>
    <x v="0"/>
    <x v="6"/>
    <s v="Creative+"/>
    <x v="5"/>
    <n v="1"/>
    <n v="700000"/>
    <n v="712149.13"/>
    <n v="2"/>
    <n v="0"/>
    <n v="712149.13"/>
    <n v="14242.98"/>
    <n v="697906.15"/>
    <s v="Not achive"/>
  </r>
  <r>
    <n v="800027"/>
    <x v="83"/>
    <x v="2"/>
    <x v="4"/>
    <s v="Gurugram"/>
    <x v="3"/>
    <s v="Sunrise Tata Showroom"/>
    <s v="Tata Motors"/>
    <x v="0"/>
    <x v="0"/>
    <s v="XE"/>
    <x v="3"/>
    <n v="1"/>
    <n v="750000"/>
    <n v="737713.06"/>
    <n v="2"/>
    <n v="0"/>
    <n v="737713.06"/>
    <n v="14754.26"/>
    <n v="722958.8"/>
    <s v="Not achive"/>
  </r>
  <r>
    <n v="800539"/>
    <x v="83"/>
    <x v="0"/>
    <x v="7"/>
    <s v="Howrah"/>
    <x v="1"/>
    <s v="Landmark Motors"/>
    <s v="Tata Motors"/>
    <x v="0"/>
    <x v="10"/>
    <s v="Creative"/>
    <x v="4"/>
    <n v="3"/>
    <n v="950000"/>
    <n v="948042.55"/>
    <n v="0"/>
    <n v="0"/>
    <n v="2844127.65"/>
    <n v="0"/>
    <n v="2844127.65"/>
    <s v="Achive"/>
  </r>
  <r>
    <n v="800523"/>
    <x v="84"/>
    <x v="2"/>
    <x v="11"/>
    <s v="New Delhi"/>
    <x v="2"/>
    <s v="Sai Service Tata"/>
    <s v="Tata Motors"/>
    <x v="0"/>
    <x v="7"/>
    <s v="Fearless+"/>
    <x v="5"/>
    <n v="2"/>
    <n v="1700000"/>
    <n v="1707947.8"/>
    <n v="12.5"/>
    <n v="0"/>
    <n v="3415895.6"/>
    <n v="426986.95"/>
    <n v="2988908.65"/>
    <s v="Achive"/>
  </r>
  <r>
    <n v="800392"/>
    <x v="85"/>
    <x v="1"/>
    <x v="13"/>
    <s v="Kochi"/>
    <x v="1"/>
    <s v="Sunrise Tata Showroom"/>
    <s v="Tata Motors"/>
    <x v="0"/>
    <x v="6"/>
    <s v="Adventure"/>
    <x v="1"/>
    <n v="3"/>
    <n v="700000"/>
    <n v="691008.38"/>
    <n v="0"/>
    <n v="0"/>
    <n v="2073025.14"/>
    <n v="0"/>
    <n v="2073025.14"/>
    <s v="Achive"/>
  </r>
  <r>
    <n v="800639"/>
    <x v="85"/>
    <x v="0"/>
    <x v="0"/>
    <s v="Patna"/>
    <x v="3"/>
    <s v="Statesman Cars"/>
    <s v="Tata Motors"/>
    <x v="3"/>
    <x v="12"/>
    <s v="XZ+"/>
    <x v="2"/>
    <n v="2"/>
    <n v="1250000"/>
    <n v="1271440.92"/>
    <n v="12.5"/>
    <n v="0"/>
    <n v="2542881.84"/>
    <n v="317860.23"/>
    <n v="2225021.61"/>
    <s v="Achive"/>
  </r>
  <r>
    <n v="800025"/>
    <x v="86"/>
    <x v="3"/>
    <x v="9"/>
    <s v="Jodhpur"/>
    <x v="0"/>
    <s v="Big Wheels Auto"/>
    <s v="Tata Motors"/>
    <x v="2"/>
    <x v="9"/>
    <s v="Base"/>
    <x v="0"/>
    <n v="4"/>
    <n v="1000000"/>
    <n v="1001057.96"/>
    <n v="0"/>
    <n v="0"/>
    <n v="4004231.84"/>
    <n v="0"/>
    <n v="4004231.84"/>
    <s v="Achive"/>
  </r>
  <r>
    <n v="800241"/>
    <x v="86"/>
    <x v="1"/>
    <x v="8"/>
    <s v="Mysuru"/>
    <x v="3"/>
    <s v="Reliance Trishakti"/>
    <s v="Tata Motors"/>
    <x v="0"/>
    <x v="7"/>
    <s v="Smart"/>
    <x v="2"/>
    <n v="3"/>
    <n v="1700000"/>
    <n v="1696879.75"/>
    <n v="0"/>
    <n v="0"/>
    <n v="5090639.25"/>
    <n v="0"/>
    <n v="5090639.25"/>
    <s v="Achive"/>
  </r>
  <r>
    <n v="800347"/>
    <x v="86"/>
    <x v="3"/>
    <x v="6"/>
    <s v="Ahmedabad"/>
    <x v="2"/>
    <s v="Concorde Tata"/>
    <s v="Tata Motors"/>
    <x v="0"/>
    <x v="4"/>
    <s v="XZ+"/>
    <x v="3"/>
    <n v="1"/>
    <n v="800000"/>
    <n v="801077.32"/>
    <n v="2"/>
    <n v="0"/>
    <n v="801077.32"/>
    <n v="16021.55"/>
    <n v="785055.77"/>
    <s v="Not achive"/>
  </r>
  <r>
    <n v="800369"/>
    <x v="87"/>
    <x v="2"/>
    <x v="3"/>
    <s v="Agra"/>
    <x v="3"/>
    <s v="Om Sai Auto Hub"/>
    <s v="Tata Motors"/>
    <x v="3"/>
    <x v="8"/>
    <s v="Empowered"/>
    <x v="7"/>
    <n v="3"/>
    <n v="1500000"/>
    <n v="1456396.5"/>
    <n v="5"/>
    <n v="0"/>
    <n v="4369189.5"/>
    <n v="218459.48"/>
    <n v="4150730.02"/>
    <s v="Achive"/>
  </r>
  <r>
    <n v="800040"/>
    <x v="88"/>
    <x v="0"/>
    <x v="7"/>
    <s v="Kolkata"/>
    <x v="0"/>
    <s v="Capital Cars"/>
    <s v="Tata Motors"/>
    <x v="3"/>
    <x v="8"/>
    <s v="Creative"/>
    <x v="4"/>
    <n v="3"/>
    <n v="1500000"/>
    <n v="1506571.68"/>
    <n v="0"/>
    <n v="0"/>
    <n v="4519715.04"/>
    <n v="0"/>
    <n v="4519715.04"/>
    <s v="Achive"/>
  </r>
  <r>
    <n v="800227"/>
    <x v="88"/>
    <x v="0"/>
    <x v="7"/>
    <s v="Howrah"/>
    <x v="0"/>
    <s v="Sai Service Tata"/>
    <s v="Tata Motors"/>
    <x v="2"/>
    <x v="2"/>
    <s v="AC Cabin"/>
    <x v="1"/>
    <n v="2"/>
    <n v="800000"/>
    <n v="779306.83"/>
    <n v="0"/>
    <n v="0"/>
    <n v="1558613.66"/>
    <n v="0"/>
    <n v="1558613.66"/>
    <s v="Not achive"/>
  </r>
  <r>
    <n v="800270"/>
    <x v="88"/>
    <x v="1"/>
    <x v="8"/>
    <s v="Hubli"/>
    <x v="2"/>
    <s v="Prerna Automobiles"/>
    <s v="Tata Motors"/>
    <x v="0"/>
    <x v="7"/>
    <s v="Smart"/>
    <x v="5"/>
    <n v="3"/>
    <n v="1700000"/>
    <n v="1718384.24"/>
    <n v="0"/>
    <n v="0"/>
    <n v="5155152.72"/>
    <n v="0"/>
    <n v="5155152.72"/>
    <s v="Achive"/>
  </r>
  <r>
    <n v="800304"/>
    <x v="89"/>
    <x v="0"/>
    <x v="7"/>
    <s v="Howrah"/>
    <x v="0"/>
    <s v="Metro Tata Motors"/>
    <s v="Tata Motors"/>
    <x v="3"/>
    <x v="8"/>
    <s v="Empowered"/>
    <x v="0"/>
    <n v="3"/>
    <n v="1500000"/>
    <n v="1508105.17"/>
    <n v="2"/>
    <n v="0"/>
    <n v="4524315.51"/>
    <n v="90486.31"/>
    <n v="4433829.2"/>
    <s v="Achive"/>
  </r>
  <r>
    <n v="800422"/>
    <x v="89"/>
    <x v="3"/>
    <x v="10"/>
    <s v="Pune"/>
    <x v="3"/>
    <s v="Concorde Tata"/>
    <s v="Tata Motors"/>
    <x v="0"/>
    <x v="14"/>
    <s v="XZ+"/>
    <x v="6"/>
    <n v="3"/>
    <n v="650000"/>
    <n v="646422.06000000006"/>
    <n v="5"/>
    <n v="1"/>
    <n v="1939266.18"/>
    <n v="96963.31"/>
    <n v="1842302.87"/>
    <s v="Not achive"/>
  </r>
  <r>
    <n v="800104"/>
    <x v="90"/>
    <x v="1"/>
    <x v="5"/>
    <s v="Hyderabad"/>
    <x v="4"/>
    <s v="National Tata Dealership"/>
    <s v="Tata Motors"/>
    <x v="3"/>
    <x v="5"/>
    <s v="Adventure"/>
    <x v="2"/>
    <n v="3"/>
    <n v="1200000"/>
    <n v="1194444.75"/>
    <n v="0"/>
    <n v="0"/>
    <n v="3583334.25"/>
    <n v="0"/>
    <n v="3583334.25"/>
    <s v="Achive"/>
  </r>
  <r>
    <n v="800360"/>
    <x v="90"/>
    <x v="2"/>
    <x v="12"/>
    <s v="Jalandhar"/>
    <x v="3"/>
    <s v="Landmark Motors"/>
    <s v="Tata Motors"/>
    <x v="3"/>
    <x v="11"/>
    <s v="Accomplished"/>
    <x v="3"/>
    <n v="3"/>
    <n v="1800000"/>
    <n v="1788489.36"/>
    <n v="0"/>
    <n v="0"/>
    <n v="5365468.08"/>
    <n v="0"/>
    <n v="5365468.08"/>
    <s v="Achive"/>
  </r>
  <r>
    <n v="800089"/>
    <x v="91"/>
    <x v="3"/>
    <x v="6"/>
    <s v="Surat"/>
    <x v="4"/>
    <s v="Sai Service Tata"/>
    <s v="Tata Motors"/>
    <x v="2"/>
    <x v="2"/>
    <s v="AC Cabin"/>
    <x v="2"/>
    <n v="4"/>
    <n v="800000"/>
    <n v="814515.73"/>
    <n v="0"/>
    <n v="0"/>
    <n v="3258062.92"/>
    <n v="0"/>
    <n v="3258062.92"/>
    <s v="Achive"/>
  </r>
  <r>
    <n v="800032"/>
    <x v="92"/>
    <x v="3"/>
    <x v="6"/>
    <s v="Vadodara"/>
    <x v="2"/>
    <s v="Metro Tata Motors"/>
    <s v="Tata Motors"/>
    <x v="2"/>
    <x v="2"/>
    <s v="Base"/>
    <x v="1"/>
    <n v="2"/>
    <n v="800000"/>
    <n v="783982.91"/>
    <n v="12.5"/>
    <n v="0"/>
    <n v="1567965.82"/>
    <n v="195995.73"/>
    <n v="1371970.09"/>
    <s v="Not achive"/>
  </r>
  <r>
    <n v="800101"/>
    <x v="92"/>
    <x v="1"/>
    <x v="5"/>
    <s v="Warangal"/>
    <x v="0"/>
    <s v="Om Sai Auto Hub"/>
    <s v="Tata Motors"/>
    <x v="3"/>
    <x v="12"/>
    <s v="XZ+"/>
    <x v="2"/>
    <n v="3"/>
    <n v="1250000"/>
    <n v="1219650.8799999999"/>
    <n v="2"/>
    <n v="0"/>
    <n v="3658952.64"/>
    <n v="73179.05"/>
    <n v="3585773.59"/>
    <s v="Achive"/>
  </r>
  <r>
    <n v="800086"/>
    <x v="93"/>
    <x v="1"/>
    <x v="2"/>
    <s v="Coimbatore"/>
    <x v="4"/>
    <s v="Landmark Motors"/>
    <s v="Tata Motors"/>
    <x v="3"/>
    <x v="12"/>
    <s v="XE"/>
    <x v="7"/>
    <n v="3"/>
    <n v="1250000"/>
    <n v="1243545.46"/>
    <n v="5"/>
    <n v="0"/>
    <n v="3730636.38"/>
    <n v="186531.82"/>
    <n v="3544104.56"/>
    <s v="Achive"/>
  </r>
  <r>
    <n v="800385"/>
    <x v="93"/>
    <x v="0"/>
    <x v="1"/>
    <s v="Cuttack"/>
    <x v="0"/>
    <s v="Concorde Tata"/>
    <s v="Tata Motors"/>
    <x v="3"/>
    <x v="5"/>
    <s v="Smart"/>
    <x v="6"/>
    <n v="3"/>
    <n v="1200000"/>
    <n v="1211319.3600000001"/>
    <n v="2"/>
    <n v="0"/>
    <n v="3633958.08"/>
    <n v="72679.16"/>
    <n v="3561278.92"/>
    <s v="Achive"/>
  </r>
  <r>
    <n v="800544"/>
    <x v="94"/>
    <x v="3"/>
    <x v="6"/>
    <s v="Surat"/>
    <x v="0"/>
    <s v="Capital Cars"/>
    <s v="Tata Motors"/>
    <x v="0"/>
    <x v="13"/>
    <s v="Accomplished+"/>
    <x v="0"/>
    <n v="2"/>
    <n v="1900000"/>
    <n v="1860960.76"/>
    <n v="0"/>
    <n v="0"/>
    <n v="3721921.52"/>
    <n v="0"/>
    <n v="3721921.52"/>
    <s v="Achive"/>
  </r>
  <r>
    <n v="800077"/>
    <x v="95"/>
    <x v="0"/>
    <x v="7"/>
    <s v="Howrah"/>
    <x v="1"/>
    <s v="Om Sai Auto Hub"/>
    <s v="Tata Motors"/>
    <x v="3"/>
    <x v="8"/>
    <s v="Fearless"/>
    <x v="9"/>
    <n v="1"/>
    <n v="1500000"/>
    <n v="1528558.1"/>
    <n v="2"/>
    <n v="0"/>
    <n v="1528558.1"/>
    <n v="30571.16"/>
    <n v="1497986.94"/>
    <s v="Not achive"/>
  </r>
  <r>
    <n v="800287"/>
    <x v="96"/>
    <x v="0"/>
    <x v="1"/>
    <s v="Cuttack"/>
    <x v="1"/>
    <s v="Landmark Motors"/>
    <s v="Tata Motors"/>
    <x v="2"/>
    <x v="2"/>
    <s v="AC Cabin"/>
    <x v="3"/>
    <n v="4"/>
    <n v="800000"/>
    <n v="814625.11"/>
    <n v="12.5"/>
    <n v="0"/>
    <n v="3258500.44"/>
    <n v="407312.55"/>
    <n v="2851187.89"/>
    <s v="Achive"/>
  </r>
  <r>
    <n v="800400"/>
    <x v="96"/>
    <x v="0"/>
    <x v="7"/>
    <s v="Howrah"/>
    <x v="4"/>
    <s v="Sai Service Tata"/>
    <s v="Tata Motors"/>
    <x v="3"/>
    <x v="12"/>
    <s v="XZ+"/>
    <x v="6"/>
    <n v="1"/>
    <n v="1250000"/>
    <n v="1223992.8899999999"/>
    <n v="0"/>
    <n v="0"/>
    <n v="1223992.8899999999"/>
    <n v="0"/>
    <n v="1223992.8899999999"/>
    <s v="Not achive"/>
  </r>
  <r>
    <n v="800192"/>
    <x v="97"/>
    <x v="1"/>
    <x v="2"/>
    <s v="Chennai"/>
    <x v="3"/>
    <s v="Sai Service Tata"/>
    <s v="Tata Motors"/>
    <x v="0"/>
    <x v="0"/>
    <s v="XZ+"/>
    <x v="1"/>
    <n v="1"/>
    <n v="750000"/>
    <n v="753585.99"/>
    <n v="2"/>
    <n v="0"/>
    <n v="753585.99"/>
    <n v="15071.72"/>
    <n v="738514.27"/>
    <s v="Not achive"/>
  </r>
  <r>
    <n v="800407"/>
    <x v="97"/>
    <x v="0"/>
    <x v="1"/>
    <s v="Bhubaneswar"/>
    <x v="0"/>
    <s v="Prerna Automobiles"/>
    <s v="Tata Motors"/>
    <x v="0"/>
    <x v="4"/>
    <s v="XZ+"/>
    <x v="6"/>
    <n v="2"/>
    <n v="800000"/>
    <n v="784823.7"/>
    <n v="0"/>
    <n v="0"/>
    <n v="1569647.4"/>
    <n v="0"/>
    <n v="1569647.4"/>
    <s v="Not achive"/>
  </r>
  <r>
    <n v="800155"/>
    <x v="98"/>
    <x v="1"/>
    <x v="8"/>
    <s v="Hubli"/>
    <x v="0"/>
    <s v="Om Sai Auto Hub"/>
    <s v="Tata Motors"/>
    <x v="0"/>
    <x v="3"/>
    <s v="Creative"/>
    <x v="5"/>
    <n v="2"/>
    <n v="1200000"/>
    <n v="1165390.58"/>
    <n v="10"/>
    <n v="0"/>
    <n v="2330781.16"/>
    <n v="233078.12"/>
    <n v="2097703.04"/>
    <s v="Achive"/>
  </r>
  <r>
    <n v="800504"/>
    <x v="98"/>
    <x v="1"/>
    <x v="5"/>
    <s v="Warangal"/>
    <x v="4"/>
    <s v="Sunrise Tata Showroom"/>
    <s v="Tata Motors"/>
    <x v="3"/>
    <x v="5"/>
    <s v="Smart"/>
    <x v="5"/>
    <n v="3"/>
    <n v="1200000"/>
    <n v="1199050.6100000001"/>
    <n v="12.5"/>
    <n v="0"/>
    <n v="3597151.83"/>
    <n v="449643.98"/>
    <n v="3147507.85"/>
    <s v="Achive"/>
  </r>
  <r>
    <n v="800438"/>
    <x v="99"/>
    <x v="3"/>
    <x v="6"/>
    <s v="Vadodara"/>
    <x v="3"/>
    <s v="Prerna Automobiles"/>
    <s v="Tata Motors"/>
    <x v="0"/>
    <x v="7"/>
    <s v="Pure"/>
    <x v="4"/>
    <n v="3"/>
    <n v="1700000"/>
    <n v="1721484.95"/>
    <n v="0"/>
    <n v="0"/>
    <n v="5164454.8499999996"/>
    <n v="0"/>
    <n v="5164454.8499999996"/>
    <s v="Achive"/>
  </r>
  <r>
    <n v="800451"/>
    <x v="100"/>
    <x v="1"/>
    <x v="5"/>
    <s v="Hyderabad"/>
    <x v="3"/>
    <s v="Prerna Automobiles"/>
    <s v="Tata Motors"/>
    <x v="0"/>
    <x v="0"/>
    <s v="XE"/>
    <x v="1"/>
    <n v="3"/>
    <n v="750000"/>
    <n v="745872.86"/>
    <n v="7.5"/>
    <n v="0"/>
    <n v="2237618.58"/>
    <n v="167821.39"/>
    <n v="2069797.19"/>
    <s v="Achive"/>
  </r>
  <r>
    <n v="800062"/>
    <x v="101"/>
    <x v="0"/>
    <x v="0"/>
    <s v="Patna"/>
    <x v="0"/>
    <s v="Capital Cars"/>
    <s v="Tata Motors"/>
    <x v="0"/>
    <x v="0"/>
    <s v="XZ+"/>
    <x v="0"/>
    <n v="1"/>
    <n v="750000"/>
    <n v="733094.91"/>
    <n v="5"/>
    <n v="0"/>
    <n v="733094.91"/>
    <n v="36654.75"/>
    <n v="696440.16"/>
    <s v="Not achive"/>
  </r>
  <r>
    <n v="800253"/>
    <x v="101"/>
    <x v="3"/>
    <x v="10"/>
    <s v="Pune"/>
    <x v="4"/>
    <s v="Metro Tata Motors"/>
    <s v="Tata Motors"/>
    <x v="2"/>
    <x v="9"/>
    <s v="Base"/>
    <x v="4"/>
    <n v="1"/>
    <n v="1000000"/>
    <n v="997643.24"/>
    <n v="10"/>
    <n v="0"/>
    <n v="997643.24"/>
    <n v="99764.32"/>
    <n v="897878.92"/>
    <s v="Not achive"/>
  </r>
  <r>
    <n v="800411"/>
    <x v="102"/>
    <x v="2"/>
    <x v="4"/>
    <s v="Gurugram"/>
    <x v="3"/>
    <s v="Landmark Motors"/>
    <s v="Tata Motors"/>
    <x v="3"/>
    <x v="5"/>
    <s v="Adventure"/>
    <x v="2"/>
    <n v="3"/>
    <n v="1200000"/>
    <n v="1192208.81"/>
    <n v="2"/>
    <n v="0"/>
    <n v="3576626.43"/>
    <n v="71532.53"/>
    <n v="3505093.9"/>
    <s v="Achive"/>
  </r>
  <r>
    <n v="800061"/>
    <x v="103"/>
    <x v="3"/>
    <x v="9"/>
    <s v="Jodhpur"/>
    <x v="2"/>
    <s v="Landmark Motors"/>
    <s v="Tata Motors"/>
    <x v="3"/>
    <x v="12"/>
    <s v="XZ+"/>
    <x v="1"/>
    <n v="2"/>
    <n v="1250000"/>
    <n v="1240029.3"/>
    <n v="0"/>
    <n v="0"/>
    <n v="2480058.6"/>
    <n v="0"/>
    <n v="2480058.6"/>
    <s v="Achive"/>
  </r>
  <r>
    <n v="800567"/>
    <x v="103"/>
    <x v="2"/>
    <x v="11"/>
    <s v="New Delhi"/>
    <x v="0"/>
    <s v="Metro Tata Motors"/>
    <s v="Tata Motors"/>
    <x v="0"/>
    <x v="14"/>
    <s v="XE"/>
    <x v="2"/>
    <n v="1"/>
    <n v="650000"/>
    <n v="656274.29"/>
    <n v="0"/>
    <n v="0"/>
    <n v="656274.29"/>
    <n v="0"/>
    <n v="656274.29"/>
    <s v="Not achive"/>
  </r>
  <r>
    <n v="800395"/>
    <x v="104"/>
    <x v="1"/>
    <x v="5"/>
    <s v="Warangal"/>
    <x v="4"/>
    <s v="Om Sai Auto Hub"/>
    <s v="Tata Motors"/>
    <x v="2"/>
    <x v="2"/>
    <s v="Base"/>
    <x v="6"/>
    <n v="1"/>
    <n v="800000"/>
    <n v="803621.73"/>
    <n v="0"/>
    <n v="0"/>
    <n v="803621.73"/>
    <n v="0"/>
    <n v="803621.73"/>
    <s v="Not achive"/>
  </r>
  <r>
    <n v="800427"/>
    <x v="104"/>
    <x v="1"/>
    <x v="13"/>
    <s v="Thiruvananthapuram"/>
    <x v="0"/>
    <s v="Sai Service Tata"/>
    <s v="Tata Motors"/>
    <x v="0"/>
    <x v="10"/>
    <s v="Fearless+"/>
    <x v="8"/>
    <n v="3"/>
    <n v="950000"/>
    <n v="947417.25"/>
    <n v="10"/>
    <n v="0"/>
    <n v="2842251.75"/>
    <n v="284225.17"/>
    <n v="2558026.58"/>
    <s v="Achive"/>
  </r>
  <r>
    <n v="800264"/>
    <x v="105"/>
    <x v="2"/>
    <x v="11"/>
    <s v="New Delhi"/>
    <x v="3"/>
    <s v="Statesman Cars"/>
    <s v="Tata Motors"/>
    <x v="0"/>
    <x v="6"/>
    <s v="Adventure"/>
    <x v="9"/>
    <n v="3"/>
    <n v="700000"/>
    <n v="701060.41"/>
    <n v="0"/>
    <n v="0"/>
    <n v="2103181.23"/>
    <n v="0"/>
    <n v="2103181.23"/>
    <s v="Achive"/>
  </r>
  <r>
    <n v="800289"/>
    <x v="105"/>
    <x v="3"/>
    <x v="10"/>
    <s v="Nagpur"/>
    <x v="3"/>
    <s v="Statesman Cars"/>
    <s v="Tata Motors"/>
    <x v="0"/>
    <x v="14"/>
    <s v="XT"/>
    <x v="2"/>
    <n v="3"/>
    <n v="650000"/>
    <n v="644650.28"/>
    <n v="0"/>
    <n v="0"/>
    <n v="1933950.84"/>
    <n v="0"/>
    <n v="1933950.84"/>
    <s v="Not achive"/>
  </r>
  <r>
    <n v="800305"/>
    <x v="105"/>
    <x v="0"/>
    <x v="1"/>
    <s v="Bhubaneswar"/>
    <x v="1"/>
    <s v="Sunrise Tata Showroom"/>
    <s v="Tata Motors"/>
    <x v="2"/>
    <x v="2"/>
    <s v="Base"/>
    <x v="3"/>
    <n v="2"/>
    <n v="800000"/>
    <n v="787751.36"/>
    <n v="12.5"/>
    <n v="0"/>
    <n v="1575502.72"/>
    <n v="196937.84"/>
    <n v="1378564.88"/>
    <s v="Not achive"/>
  </r>
  <r>
    <n v="800047"/>
    <x v="106"/>
    <x v="3"/>
    <x v="9"/>
    <s v="Jaipur"/>
    <x v="0"/>
    <s v="National Tata Dealership"/>
    <s v="Tata Motors"/>
    <x v="3"/>
    <x v="12"/>
    <s v="XE"/>
    <x v="2"/>
    <n v="3"/>
    <n v="1250000"/>
    <n v="1239288.3"/>
    <n v="12.5"/>
    <n v="0"/>
    <n v="3717864.9"/>
    <n v="464733.11"/>
    <n v="3253131.79"/>
    <s v="Achive"/>
  </r>
  <r>
    <n v="800545"/>
    <x v="106"/>
    <x v="1"/>
    <x v="5"/>
    <s v="Warangal"/>
    <x v="4"/>
    <s v="Capital Cars"/>
    <s v="Tata Motors"/>
    <x v="3"/>
    <x v="12"/>
    <s v="XZ+"/>
    <x v="1"/>
    <n v="2"/>
    <n v="1250000"/>
    <n v="1247953.23"/>
    <n v="5"/>
    <n v="0"/>
    <n v="2495906.46"/>
    <n v="124795.32"/>
    <n v="2371111.14"/>
    <s v="Achive"/>
  </r>
  <r>
    <n v="800028"/>
    <x v="107"/>
    <x v="1"/>
    <x v="5"/>
    <s v="Warangal"/>
    <x v="2"/>
    <s v="Concorde Tata"/>
    <s v="Tata Motors"/>
    <x v="0"/>
    <x v="7"/>
    <s v="Pure"/>
    <x v="5"/>
    <n v="1"/>
    <n v="1700000"/>
    <n v="1649301.38"/>
    <n v="0"/>
    <n v="0"/>
    <n v="1649301.38"/>
    <n v="0"/>
    <n v="1649301.38"/>
    <s v="Not achive"/>
  </r>
  <r>
    <n v="800364"/>
    <x v="107"/>
    <x v="0"/>
    <x v="7"/>
    <s v="Howrah"/>
    <x v="2"/>
    <s v="Landmark Motors"/>
    <s v="Tata Motors"/>
    <x v="0"/>
    <x v="7"/>
    <s v="Pure"/>
    <x v="2"/>
    <n v="3"/>
    <n v="1700000"/>
    <n v="1731317.52"/>
    <n v="5"/>
    <n v="0"/>
    <n v="5193952.5599999996"/>
    <n v="259697.63"/>
    <n v="4934254.93"/>
    <s v="Achive"/>
  </r>
  <r>
    <n v="800065"/>
    <x v="108"/>
    <x v="0"/>
    <x v="1"/>
    <s v="Bhubaneswar"/>
    <x v="4"/>
    <s v="Landmark Motors"/>
    <s v="Tata Motors"/>
    <x v="0"/>
    <x v="6"/>
    <s v="Adventure"/>
    <x v="5"/>
    <n v="3"/>
    <n v="700000"/>
    <n v="709086.24"/>
    <n v="0"/>
    <n v="0"/>
    <n v="2127258.7200000002"/>
    <n v="0"/>
    <n v="2127258.7200000002"/>
    <s v="Achive"/>
  </r>
  <r>
    <n v="800161"/>
    <x v="108"/>
    <x v="0"/>
    <x v="1"/>
    <s v="Bhubaneswar"/>
    <x v="0"/>
    <s v="Landmark Motors"/>
    <s v="Tata Motors"/>
    <x v="0"/>
    <x v="10"/>
    <s v="Creative"/>
    <x v="2"/>
    <n v="2"/>
    <n v="950000"/>
    <n v="949225.85"/>
    <n v="0"/>
    <n v="0"/>
    <n v="1898451.7"/>
    <n v="0"/>
    <n v="1898451.7"/>
    <s v="Not achive"/>
  </r>
  <r>
    <n v="800341"/>
    <x v="108"/>
    <x v="1"/>
    <x v="5"/>
    <s v="Hyderabad"/>
    <x v="2"/>
    <s v="Statesman Cars"/>
    <s v="Tata Motors"/>
    <x v="0"/>
    <x v="4"/>
    <s v="XZ+"/>
    <x v="3"/>
    <n v="1"/>
    <n v="800000"/>
    <n v="791087.93"/>
    <n v="10"/>
    <n v="0"/>
    <n v="791087.93"/>
    <n v="79108.789999999994"/>
    <n v="711979.14"/>
    <s v="Not achive"/>
  </r>
  <r>
    <n v="800153"/>
    <x v="109"/>
    <x v="1"/>
    <x v="13"/>
    <s v="Thiruvananthapuram"/>
    <x v="0"/>
    <s v="Statesman Cars"/>
    <s v="Tata Motors"/>
    <x v="1"/>
    <x v="1"/>
    <s v="CNG"/>
    <x v="3"/>
    <n v="5"/>
    <n v="550000"/>
    <n v="536420.06000000006"/>
    <n v="2"/>
    <n v="0"/>
    <n v="2682100.2999999998"/>
    <n v="53642.01"/>
    <n v="2628458.29"/>
    <s v="Achive"/>
  </r>
  <r>
    <n v="800199"/>
    <x v="109"/>
    <x v="2"/>
    <x v="12"/>
    <s v="Amritsar"/>
    <x v="2"/>
    <s v="Concorde Tata"/>
    <s v="Tata Motors"/>
    <x v="3"/>
    <x v="11"/>
    <s v="Creative"/>
    <x v="8"/>
    <n v="1"/>
    <n v="1800000"/>
    <n v="1801780.28"/>
    <n v="5"/>
    <n v="0"/>
    <n v="1801780.28"/>
    <n v="90089.01"/>
    <n v="1711691.27"/>
    <s v="Not achive"/>
  </r>
  <r>
    <n v="800540"/>
    <x v="109"/>
    <x v="3"/>
    <x v="6"/>
    <s v="Vadodara"/>
    <x v="1"/>
    <s v="Concorde Tata"/>
    <s v="Tata Motors"/>
    <x v="0"/>
    <x v="7"/>
    <s v="Pure"/>
    <x v="7"/>
    <n v="3"/>
    <n v="1700000"/>
    <n v="1666832.49"/>
    <n v="2"/>
    <n v="0"/>
    <n v="5000497.47"/>
    <n v="100009.95"/>
    <n v="4900487.5199999996"/>
    <s v="Achive"/>
  </r>
  <r>
    <n v="800493"/>
    <x v="110"/>
    <x v="0"/>
    <x v="7"/>
    <s v="Kolkata"/>
    <x v="3"/>
    <s v="Metro Tata Motors"/>
    <s v="Tata Motors"/>
    <x v="3"/>
    <x v="12"/>
    <s v="XE"/>
    <x v="7"/>
    <n v="2"/>
    <n v="1250000"/>
    <n v="1265425.24"/>
    <n v="2"/>
    <n v="0"/>
    <n v="2530850.48"/>
    <n v="50617.01"/>
    <n v="2480233.4700000002"/>
    <s v="Achive"/>
  </r>
  <r>
    <n v="800393"/>
    <x v="111"/>
    <x v="0"/>
    <x v="1"/>
    <s v="Bhubaneswar"/>
    <x v="4"/>
    <s v="Metro Tata Motors"/>
    <s v="Tata Motors"/>
    <x v="3"/>
    <x v="5"/>
    <s v="Adventure"/>
    <x v="4"/>
    <n v="3"/>
    <n v="1200000"/>
    <n v="1171868.3500000001"/>
    <n v="2"/>
    <n v="0"/>
    <n v="3515605.05"/>
    <n v="70312.100000000006"/>
    <n v="3445292.95"/>
    <s v="Achive"/>
  </r>
  <r>
    <n v="800074"/>
    <x v="112"/>
    <x v="0"/>
    <x v="0"/>
    <s v="Patna"/>
    <x v="2"/>
    <s v="Capital Cars"/>
    <s v="Tata Motors"/>
    <x v="0"/>
    <x v="0"/>
    <s v="XZ+"/>
    <x v="4"/>
    <n v="2"/>
    <n v="750000"/>
    <n v="762474.49"/>
    <n v="5"/>
    <n v="0"/>
    <n v="1524948.98"/>
    <n v="76247.45"/>
    <n v="1448701.53"/>
    <s v="Not achive"/>
  </r>
  <r>
    <n v="800088"/>
    <x v="112"/>
    <x v="2"/>
    <x v="4"/>
    <s v="Faridabad"/>
    <x v="2"/>
    <s v="Sunrise Tata Showroom"/>
    <s v="Tata Motors"/>
    <x v="0"/>
    <x v="10"/>
    <s v="Fearless+"/>
    <x v="6"/>
    <n v="1"/>
    <n v="950000"/>
    <n v="931037.75"/>
    <n v="7.5"/>
    <n v="0"/>
    <n v="931037.75"/>
    <n v="69827.83"/>
    <n v="861209.92"/>
    <s v="Not achive"/>
  </r>
  <r>
    <n v="800408"/>
    <x v="112"/>
    <x v="1"/>
    <x v="13"/>
    <s v="Thiruvananthapuram"/>
    <x v="0"/>
    <s v="Prerna Automobiles"/>
    <s v="Tata Motors"/>
    <x v="2"/>
    <x v="2"/>
    <s v="Base"/>
    <x v="4"/>
    <n v="2"/>
    <n v="800000"/>
    <n v="787583.81"/>
    <n v="12.5"/>
    <n v="0"/>
    <n v="1575167.62"/>
    <n v="196895.95"/>
    <n v="1378271.67"/>
    <s v="Not achive"/>
  </r>
  <r>
    <n v="800476"/>
    <x v="112"/>
    <x v="1"/>
    <x v="2"/>
    <s v="Coimbatore"/>
    <x v="3"/>
    <s v="Big Wheels Auto"/>
    <s v="Tata Motors"/>
    <x v="0"/>
    <x v="6"/>
    <s v="Pure"/>
    <x v="5"/>
    <n v="2"/>
    <n v="700000"/>
    <n v="697629.65"/>
    <n v="12.5"/>
    <n v="0"/>
    <n v="1395259.3"/>
    <n v="174407.41"/>
    <n v="1220851.8899999999"/>
    <s v="Not achive"/>
  </r>
  <r>
    <n v="800100"/>
    <x v="113"/>
    <x v="0"/>
    <x v="7"/>
    <s v="Kolkata"/>
    <x v="0"/>
    <s v="Sai Service Tata"/>
    <s v="Tata Motors"/>
    <x v="2"/>
    <x v="9"/>
    <s v="CX"/>
    <x v="2"/>
    <n v="1"/>
    <n v="1000000"/>
    <n v="986105.59"/>
    <n v="0"/>
    <n v="0"/>
    <n v="986105.59"/>
    <n v="0"/>
    <n v="986105.59"/>
    <s v="Not achive"/>
  </r>
  <r>
    <n v="800597"/>
    <x v="113"/>
    <x v="3"/>
    <x v="9"/>
    <s v="Jaipur"/>
    <x v="4"/>
    <s v="Big Wheels Auto"/>
    <s v="Tata Motors"/>
    <x v="2"/>
    <x v="2"/>
    <s v="AC Cabin"/>
    <x v="8"/>
    <n v="4"/>
    <n v="800000"/>
    <n v="784720.34"/>
    <n v="0"/>
    <n v="0"/>
    <n v="3138881.36"/>
    <n v="0"/>
    <n v="3138881.36"/>
    <s v="Achive"/>
  </r>
  <r>
    <n v="800075"/>
    <x v="114"/>
    <x v="0"/>
    <x v="7"/>
    <s v="Howrah"/>
    <x v="3"/>
    <s v="Capital Cars"/>
    <s v="Tata Motors"/>
    <x v="3"/>
    <x v="11"/>
    <s v="Creative"/>
    <x v="6"/>
    <n v="1"/>
    <n v="1800000"/>
    <n v="1828968.13"/>
    <n v="0"/>
    <n v="0"/>
    <n v="1828968.13"/>
    <n v="0"/>
    <n v="1828968.13"/>
    <s v="Not achive"/>
  </r>
  <r>
    <n v="800094"/>
    <x v="114"/>
    <x v="3"/>
    <x v="6"/>
    <s v="Surat"/>
    <x v="3"/>
    <s v="Big Wheels Auto"/>
    <s v="Tata Motors"/>
    <x v="0"/>
    <x v="0"/>
    <s v="XZ+"/>
    <x v="9"/>
    <n v="3"/>
    <n v="750000"/>
    <n v="761313.61"/>
    <n v="7.5"/>
    <n v="0"/>
    <n v="2283940.83"/>
    <n v="171295.56"/>
    <n v="2112645.27"/>
    <s v="Achive"/>
  </r>
  <r>
    <n v="800382"/>
    <x v="114"/>
    <x v="0"/>
    <x v="7"/>
    <s v="Kolkata"/>
    <x v="1"/>
    <s v="Landmark Motors"/>
    <s v="Tata Motors"/>
    <x v="0"/>
    <x v="13"/>
    <s v="Accomplished+"/>
    <x v="2"/>
    <n v="1"/>
    <n v="1900000"/>
    <n v="1895211.3"/>
    <n v="7.5"/>
    <n v="0"/>
    <n v="1895211.3"/>
    <n v="142140.85"/>
    <n v="1753070.45"/>
    <s v="Not achive"/>
  </r>
  <r>
    <n v="800414"/>
    <x v="114"/>
    <x v="1"/>
    <x v="8"/>
    <s v="Mysuru"/>
    <x v="2"/>
    <s v="Reliance Trishakti"/>
    <s v="Tata Motors"/>
    <x v="0"/>
    <x v="6"/>
    <s v="Pure"/>
    <x v="8"/>
    <n v="3"/>
    <n v="700000"/>
    <n v="694195.66"/>
    <n v="0"/>
    <n v="0"/>
    <n v="2082586.98"/>
    <n v="0"/>
    <n v="2082586.98"/>
    <s v="Achive"/>
  </r>
  <r>
    <n v="800594"/>
    <x v="115"/>
    <x v="0"/>
    <x v="7"/>
    <s v="Howrah"/>
    <x v="0"/>
    <s v="Reliance Trishakti"/>
    <s v="Tata Motors"/>
    <x v="2"/>
    <x v="9"/>
    <s v="Base"/>
    <x v="8"/>
    <n v="2"/>
    <n v="1000000"/>
    <n v="983635.6"/>
    <n v="0"/>
    <n v="0"/>
    <n v="1967271.2"/>
    <n v="0"/>
    <n v="1967271.2"/>
    <s v="Not achive"/>
  </r>
  <r>
    <n v="800267"/>
    <x v="116"/>
    <x v="3"/>
    <x v="10"/>
    <s v="Nashik"/>
    <x v="1"/>
    <s v="National Tata Dealership"/>
    <s v="Tata Motors"/>
    <x v="0"/>
    <x v="6"/>
    <s v="Creative+"/>
    <x v="5"/>
    <n v="2"/>
    <n v="700000"/>
    <n v="693419.73"/>
    <n v="12.5"/>
    <n v="0"/>
    <n v="1386839.46"/>
    <n v="173354.93"/>
    <n v="1213484.53"/>
    <s v="Not achive"/>
  </r>
  <r>
    <n v="800614"/>
    <x v="116"/>
    <x v="3"/>
    <x v="10"/>
    <s v="Pune"/>
    <x v="1"/>
    <s v="Metro Tata Motors"/>
    <s v="Tata Motors"/>
    <x v="0"/>
    <x v="4"/>
    <s v="XM"/>
    <x v="2"/>
    <n v="2"/>
    <n v="800000"/>
    <n v="777766.49"/>
    <n v="0"/>
    <n v="0"/>
    <n v="1555532.98"/>
    <n v="0"/>
    <n v="1555532.98"/>
    <s v="Not achive"/>
  </r>
  <r>
    <n v="800198"/>
    <x v="117"/>
    <x v="0"/>
    <x v="1"/>
    <s v="Bhubaneswar"/>
    <x v="2"/>
    <s v="Landmark Motors"/>
    <s v="Tata Motors"/>
    <x v="3"/>
    <x v="11"/>
    <s v="Empowered"/>
    <x v="6"/>
    <n v="1"/>
    <n v="1800000"/>
    <n v="1747505.35"/>
    <n v="5"/>
    <n v="0"/>
    <n v="1747505.35"/>
    <n v="87375.27"/>
    <n v="1660130.08"/>
    <s v="Not achive"/>
  </r>
  <r>
    <n v="800546"/>
    <x v="117"/>
    <x v="3"/>
    <x v="6"/>
    <s v="Surat"/>
    <x v="4"/>
    <s v="Landmark Motors"/>
    <s v="Tata Motors"/>
    <x v="0"/>
    <x v="4"/>
    <s v="XM"/>
    <x v="5"/>
    <n v="2"/>
    <n v="800000"/>
    <n v="814248.55"/>
    <n v="0"/>
    <n v="0"/>
    <n v="1628497.1"/>
    <n v="0"/>
    <n v="1628497.1"/>
    <s v="Not achive"/>
  </r>
  <r>
    <n v="800130"/>
    <x v="118"/>
    <x v="0"/>
    <x v="7"/>
    <s v="Kolkata"/>
    <x v="2"/>
    <s v="Landmark Motors"/>
    <s v="Tata Motors"/>
    <x v="3"/>
    <x v="5"/>
    <s v="Smart"/>
    <x v="4"/>
    <n v="3"/>
    <n v="1200000"/>
    <n v="1220413.56"/>
    <n v="10"/>
    <n v="0"/>
    <n v="3661240.68"/>
    <n v="366124.07"/>
    <n v="3295116.61"/>
    <s v="Achive"/>
  </r>
  <r>
    <n v="800157"/>
    <x v="118"/>
    <x v="0"/>
    <x v="0"/>
    <s v="Gaya"/>
    <x v="4"/>
    <s v="Metro Tata Motors"/>
    <s v="Tata Motors"/>
    <x v="0"/>
    <x v="10"/>
    <s v="Smart"/>
    <x v="6"/>
    <n v="1"/>
    <n v="950000"/>
    <n v="948588.38"/>
    <n v="2"/>
    <n v="0"/>
    <n v="948588.38"/>
    <n v="18971.77"/>
    <n v="929616.61"/>
    <s v="Not achive"/>
  </r>
  <r>
    <n v="800335"/>
    <x v="119"/>
    <x v="3"/>
    <x v="6"/>
    <s v="Ahmedabad"/>
    <x v="1"/>
    <s v="Sunrise Tata Showroom"/>
    <s v="Tata Motors"/>
    <x v="2"/>
    <x v="2"/>
    <s v="AC Cabin"/>
    <x v="3"/>
    <n v="6"/>
    <n v="800000"/>
    <n v="784693.7"/>
    <n v="2"/>
    <n v="0"/>
    <n v="4708162.2"/>
    <n v="94163.24"/>
    <n v="4613998.96"/>
    <s v="Achive"/>
  </r>
  <r>
    <n v="800549"/>
    <x v="119"/>
    <x v="0"/>
    <x v="7"/>
    <s v="Kolkata"/>
    <x v="0"/>
    <s v="Big Wheels Auto"/>
    <s v="Tata Motors"/>
    <x v="0"/>
    <x v="4"/>
    <s v="XE"/>
    <x v="3"/>
    <n v="3"/>
    <n v="800000"/>
    <n v="789251.23"/>
    <n v="5"/>
    <n v="0"/>
    <n v="2367753.69"/>
    <n v="118387.68"/>
    <n v="2249366.0099999998"/>
    <s v="Achive"/>
  </r>
  <r>
    <n v="800255"/>
    <x v="120"/>
    <x v="2"/>
    <x v="12"/>
    <s v="Amritsar"/>
    <x v="0"/>
    <s v="Sunrise Tata Showroom"/>
    <s v="Tata Motors"/>
    <x v="1"/>
    <x v="1"/>
    <s v="CNG"/>
    <x v="9"/>
    <n v="1"/>
    <n v="550000"/>
    <n v="548710.01"/>
    <n v="0"/>
    <n v="0"/>
    <n v="548710.01"/>
    <n v="0"/>
    <n v="548710.01"/>
    <s v="Not achive"/>
  </r>
  <r>
    <n v="800496"/>
    <x v="121"/>
    <x v="1"/>
    <x v="2"/>
    <s v="Coimbatore"/>
    <x v="1"/>
    <s v="Landmark Motors"/>
    <s v="Tata Motors"/>
    <x v="0"/>
    <x v="3"/>
    <s v="Creative"/>
    <x v="3"/>
    <n v="2"/>
    <n v="1200000"/>
    <n v="1198437.92"/>
    <n v="7.5"/>
    <n v="0"/>
    <n v="2396875.84"/>
    <n v="179765.69"/>
    <n v="2217110.15"/>
    <s v="Achive"/>
  </r>
  <r>
    <n v="800021"/>
    <x v="122"/>
    <x v="2"/>
    <x v="3"/>
    <s v="Noida"/>
    <x v="2"/>
    <s v="Metro Tata Motors"/>
    <s v="Tata Motors"/>
    <x v="3"/>
    <x v="5"/>
    <s v="Adventure"/>
    <x v="5"/>
    <n v="2"/>
    <n v="1200000"/>
    <n v="1205795.49"/>
    <n v="12.5"/>
    <n v="0"/>
    <n v="2411590.98"/>
    <n v="301448.87"/>
    <n v="2110142.11"/>
    <s v="Achive"/>
  </r>
  <r>
    <n v="800059"/>
    <x v="122"/>
    <x v="3"/>
    <x v="10"/>
    <s v="Nagpur"/>
    <x v="0"/>
    <s v="Sunrise Tata Showroom"/>
    <s v="Tata Motors"/>
    <x v="0"/>
    <x v="13"/>
    <s v="Accomplished+"/>
    <x v="3"/>
    <n v="3"/>
    <n v="1900000"/>
    <n v="1869884.88"/>
    <n v="0"/>
    <n v="0"/>
    <n v="5609654.6399999997"/>
    <n v="0"/>
    <n v="5609654.6399999997"/>
    <s v="Achive"/>
  </r>
  <r>
    <n v="800123"/>
    <x v="122"/>
    <x v="1"/>
    <x v="2"/>
    <s v="Coimbatore"/>
    <x v="4"/>
    <s v="Statesman Cars"/>
    <s v="Tata Motors"/>
    <x v="0"/>
    <x v="6"/>
    <s v="Adventure"/>
    <x v="1"/>
    <n v="1"/>
    <n v="700000"/>
    <n v="686929.01"/>
    <n v="0"/>
    <n v="0"/>
    <n v="686929.01"/>
    <n v="0"/>
    <n v="686929.01"/>
    <s v="Not achive"/>
  </r>
  <r>
    <n v="800138"/>
    <x v="122"/>
    <x v="1"/>
    <x v="2"/>
    <s v="Coimbatore"/>
    <x v="2"/>
    <s v="Metro Tata Motors"/>
    <s v="Tata Motors"/>
    <x v="3"/>
    <x v="12"/>
    <s v="XE"/>
    <x v="3"/>
    <n v="2"/>
    <n v="1250000"/>
    <n v="1232575.71"/>
    <n v="0"/>
    <n v="0"/>
    <n v="2465151.42"/>
    <n v="0"/>
    <n v="2465151.42"/>
    <s v="Achive"/>
  </r>
  <r>
    <n v="800319"/>
    <x v="122"/>
    <x v="0"/>
    <x v="0"/>
    <s v="Patna"/>
    <x v="1"/>
    <s v="Concorde Tata"/>
    <s v="Tata Motors"/>
    <x v="0"/>
    <x v="13"/>
    <s v="Accomplished+"/>
    <x v="2"/>
    <n v="2"/>
    <n v="1900000"/>
    <n v="1904212"/>
    <n v="12.5"/>
    <n v="0"/>
    <n v="3808424"/>
    <n v="476053"/>
    <n v="3332371"/>
    <s v="Achive"/>
  </r>
  <r>
    <n v="800537"/>
    <x v="122"/>
    <x v="3"/>
    <x v="9"/>
    <s v="Jodhpur"/>
    <x v="3"/>
    <s v="Big Wheels Auto"/>
    <s v="Tata Motors"/>
    <x v="0"/>
    <x v="7"/>
    <s v="Pure"/>
    <x v="0"/>
    <n v="3"/>
    <n v="1700000"/>
    <n v="1655009.38"/>
    <n v="7.5"/>
    <n v="0"/>
    <n v="4965028.1399999997"/>
    <n v="372377.11"/>
    <n v="4592651.03"/>
    <s v="Achive"/>
  </r>
  <r>
    <n v="800282"/>
    <x v="123"/>
    <x v="0"/>
    <x v="0"/>
    <s v="Patna"/>
    <x v="2"/>
    <s v="Big Wheels Auto"/>
    <s v="Tata Motors"/>
    <x v="0"/>
    <x v="6"/>
    <s v="Pure"/>
    <x v="6"/>
    <n v="3"/>
    <n v="700000"/>
    <n v="698393.94"/>
    <n v="5"/>
    <n v="0"/>
    <n v="2095181.82"/>
    <n v="104759.09"/>
    <n v="1990422.73"/>
    <s v="Not achive"/>
  </r>
  <r>
    <n v="800188"/>
    <x v="124"/>
    <x v="3"/>
    <x v="9"/>
    <s v="Jodhpur"/>
    <x v="1"/>
    <s v="Capital Cars"/>
    <s v="Tata Motors"/>
    <x v="0"/>
    <x v="14"/>
    <s v="XT"/>
    <x v="6"/>
    <n v="3"/>
    <n v="650000"/>
    <n v="640858.87"/>
    <n v="10"/>
    <n v="0"/>
    <n v="1922576.61"/>
    <n v="192257.66"/>
    <n v="1730318.95"/>
    <s v="Not achive"/>
  </r>
  <r>
    <n v="800219"/>
    <x v="124"/>
    <x v="1"/>
    <x v="13"/>
    <s v="Thiruvananthapuram"/>
    <x v="0"/>
    <s v="Prerna Automobiles"/>
    <s v="Tata Motors"/>
    <x v="3"/>
    <x v="11"/>
    <s v="Accomplished"/>
    <x v="9"/>
    <n v="2"/>
    <n v="1800000"/>
    <n v="1754786.07"/>
    <n v="12.5"/>
    <n v="0"/>
    <n v="3509572.14"/>
    <n v="438696.52"/>
    <n v="3070875.62"/>
    <s v="Achive"/>
  </r>
  <r>
    <n v="800514"/>
    <x v="124"/>
    <x v="2"/>
    <x v="4"/>
    <s v="Hisar"/>
    <x v="2"/>
    <s v="Capital Cars"/>
    <s v="Tata Motors"/>
    <x v="1"/>
    <x v="1"/>
    <s v="CNG"/>
    <x v="8"/>
    <n v="2"/>
    <n v="550000"/>
    <n v="548748.07999999996"/>
    <n v="10"/>
    <n v="0"/>
    <n v="1097496.1599999999"/>
    <n v="109749.62"/>
    <n v="987746.54"/>
    <s v="Not achive"/>
  </r>
  <r>
    <n v="800051"/>
    <x v="125"/>
    <x v="2"/>
    <x v="4"/>
    <s v="Panipat"/>
    <x v="0"/>
    <s v="Sai Service Tata"/>
    <s v="Tata Motors"/>
    <x v="0"/>
    <x v="6"/>
    <s v="Pure"/>
    <x v="7"/>
    <n v="3"/>
    <n v="700000"/>
    <n v="708070.01"/>
    <n v="2"/>
    <n v="0"/>
    <n v="2124210.0299999998"/>
    <n v="42484.2"/>
    <n v="2081725.83"/>
    <s v="Achive"/>
  </r>
  <r>
    <n v="800091"/>
    <x v="125"/>
    <x v="1"/>
    <x v="2"/>
    <s v="Chennai"/>
    <x v="0"/>
    <s v="Landmark Motors"/>
    <s v="Tata Motors"/>
    <x v="3"/>
    <x v="12"/>
    <s v="XZ+"/>
    <x v="7"/>
    <n v="1"/>
    <n v="1250000"/>
    <n v="1252978.27"/>
    <n v="12.5"/>
    <n v="0"/>
    <n v="1252978.27"/>
    <n v="156622.28"/>
    <n v="1096355.99"/>
    <s v="Not achive"/>
  </r>
  <r>
    <n v="800428"/>
    <x v="125"/>
    <x v="1"/>
    <x v="5"/>
    <s v="Warangal"/>
    <x v="0"/>
    <s v="Landmark Motors"/>
    <s v="Tata Motors"/>
    <x v="0"/>
    <x v="13"/>
    <s v="Smart"/>
    <x v="5"/>
    <n v="3"/>
    <n v="1900000"/>
    <n v="1844548.73"/>
    <n v="0"/>
    <n v="0"/>
    <n v="5533646.1900000004"/>
    <n v="0"/>
    <n v="5533646.1900000004"/>
    <s v="Achive"/>
  </r>
  <r>
    <n v="800472"/>
    <x v="125"/>
    <x v="1"/>
    <x v="2"/>
    <s v="Coimbatore"/>
    <x v="0"/>
    <s v="Concorde Tata"/>
    <s v="Tata Motors"/>
    <x v="0"/>
    <x v="3"/>
    <s v="Smart"/>
    <x v="9"/>
    <n v="2"/>
    <n v="1200000"/>
    <n v="1213767.45"/>
    <n v="5"/>
    <n v="0"/>
    <n v="2427534.9"/>
    <n v="121376.74"/>
    <n v="2306158.16"/>
    <s v="Achive"/>
  </r>
  <r>
    <n v="800589"/>
    <x v="125"/>
    <x v="2"/>
    <x v="4"/>
    <s v="Hisar"/>
    <x v="2"/>
    <s v="National Tata Dealership"/>
    <s v="Tata Motors"/>
    <x v="1"/>
    <x v="1"/>
    <s v="CNG"/>
    <x v="6"/>
    <n v="2"/>
    <n v="550000"/>
    <n v="543051.19999999995"/>
    <n v="0"/>
    <n v="0"/>
    <n v="1086102.3999999999"/>
    <n v="0"/>
    <n v="1086102.3999999999"/>
    <s v="Not achive"/>
  </r>
  <r>
    <n v="800293"/>
    <x v="126"/>
    <x v="0"/>
    <x v="0"/>
    <s v="Gaya"/>
    <x v="4"/>
    <s v="Sai Service Tata"/>
    <s v="Tata Motors"/>
    <x v="0"/>
    <x v="6"/>
    <s v="Pure"/>
    <x v="1"/>
    <n v="2"/>
    <n v="700000"/>
    <n v="710396.1"/>
    <n v="0"/>
    <n v="0"/>
    <n v="1420792.2"/>
    <n v="0"/>
    <n v="1420792.2"/>
    <s v="Not achive"/>
  </r>
  <r>
    <n v="800565"/>
    <x v="126"/>
    <x v="0"/>
    <x v="7"/>
    <s v="Howrah"/>
    <x v="4"/>
    <s v="Statesman Cars"/>
    <s v="Tata Motors"/>
    <x v="2"/>
    <x v="2"/>
    <s v="AC Cabin"/>
    <x v="7"/>
    <n v="5"/>
    <n v="800000"/>
    <n v="806543.58"/>
    <n v="7.5"/>
    <n v="0"/>
    <n v="4032717.9"/>
    <n v="302453.84000000003"/>
    <n v="3730264.06"/>
    <s v="Achive"/>
  </r>
  <r>
    <n v="800356"/>
    <x v="127"/>
    <x v="3"/>
    <x v="9"/>
    <s v="Jaipur"/>
    <x v="2"/>
    <s v="Sunrise Tata Showroom"/>
    <s v="Tata Motors"/>
    <x v="3"/>
    <x v="12"/>
    <s v="XE"/>
    <x v="8"/>
    <n v="2"/>
    <n v="1250000"/>
    <n v="1242866.33"/>
    <n v="7.5"/>
    <n v="0"/>
    <n v="2485732.66"/>
    <n v="186429.95"/>
    <n v="2299302.71"/>
    <s v="Achive"/>
  </r>
  <r>
    <n v="800109"/>
    <x v="128"/>
    <x v="0"/>
    <x v="7"/>
    <s v="Kolkata"/>
    <x v="1"/>
    <s v="Concorde Tata"/>
    <s v="Tata Motors"/>
    <x v="0"/>
    <x v="10"/>
    <s v="Creative"/>
    <x v="2"/>
    <n v="2"/>
    <n v="950000"/>
    <n v="953715.35"/>
    <n v="12.5"/>
    <n v="0"/>
    <n v="1907430.7"/>
    <n v="238428.84"/>
    <n v="1669001.86"/>
    <s v="Not achive"/>
  </r>
  <r>
    <n v="800180"/>
    <x v="128"/>
    <x v="2"/>
    <x v="12"/>
    <s v="Amritsar"/>
    <x v="0"/>
    <s v="Statesman Cars"/>
    <s v="Tata Motors"/>
    <x v="3"/>
    <x v="11"/>
    <s v="Accomplished"/>
    <x v="1"/>
    <n v="3"/>
    <n v="1800000"/>
    <n v="1751196.31"/>
    <n v="12.5"/>
    <n v="0"/>
    <n v="5253588.93"/>
    <n v="656698.62"/>
    <n v="4596890.3099999996"/>
    <s v="Achive"/>
  </r>
  <r>
    <n v="800471"/>
    <x v="128"/>
    <x v="1"/>
    <x v="2"/>
    <s v="Coimbatore"/>
    <x v="0"/>
    <s v="Reliance Trishakti"/>
    <s v="Tata Motors"/>
    <x v="3"/>
    <x v="11"/>
    <s v="Creative"/>
    <x v="7"/>
    <n v="3"/>
    <n v="1800000"/>
    <n v="1781060.96"/>
    <n v="0"/>
    <n v="0"/>
    <n v="5343182.88"/>
    <n v="0"/>
    <n v="5343182.88"/>
    <s v="Achive"/>
  </r>
  <r>
    <n v="800446"/>
    <x v="129"/>
    <x v="3"/>
    <x v="6"/>
    <s v="Surat"/>
    <x v="1"/>
    <s v="Big Wheels Auto"/>
    <s v="Tata Motors"/>
    <x v="0"/>
    <x v="3"/>
    <s v="Accomplished"/>
    <x v="4"/>
    <n v="1"/>
    <n v="1200000"/>
    <n v="1203148.3600000001"/>
    <n v="2"/>
    <n v="0"/>
    <n v="1203148.3600000001"/>
    <n v="24062.97"/>
    <n v="1179085.3899999999"/>
    <s v="Not achive"/>
  </r>
  <r>
    <n v="800480"/>
    <x v="129"/>
    <x v="1"/>
    <x v="8"/>
    <s v="Bengaluru"/>
    <x v="1"/>
    <s v="Concorde Tata"/>
    <s v="Tata Motors"/>
    <x v="2"/>
    <x v="9"/>
    <s v="CX"/>
    <x v="7"/>
    <n v="2"/>
    <n v="1000000"/>
    <n v="974645.81"/>
    <n v="12.5"/>
    <n v="0"/>
    <n v="1949291.62"/>
    <n v="243661.45"/>
    <n v="1705630.17"/>
    <s v="Not achive"/>
  </r>
  <r>
    <n v="800593"/>
    <x v="129"/>
    <x v="1"/>
    <x v="13"/>
    <s v="Kochi"/>
    <x v="4"/>
    <s v="Reliance Trishakti"/>
    <s v="Tata Motors"/>
    <x v="3"/>
    <x v="12"/>
    <s v="XE"/>
    <x v="6"/>
    <n v="1"/>
    <n v="1250000"/>
    <n v="1219597.4099999999"/>
    <n v="2"/>
    <n v="0"/>
    <n v="1219597.4099999999"/>
    <n v="24391.95"/>
    <n v="1195205.46"/>
    <s v="Not achive"/>
  </r>
  <r>
    <n v="800479"/>
    <x v="130"/>
    <x v="2"/>
    <x v="11"/>
    <s v="Dwarka"/>
    <x v="2"/>
    <s v="Concorde Tata"/>
    <s v="Tata Motors"/>
    <x v="3"/>
    <x v="8"/>
    <s v="Fearless"/>
    <x v="4"/>
    <n v="3"/>
    <n v="1500000"/>
    <n v="1499709.1"/>
    <n v="12.5"/>
    <n v="0"/>
    <n v="4499127.3"/>
    <n v="562390.91"/>
    <n v="3936736.39"/>
    <s v="Achive"/>
  </r>
  <r>
    <n v="800034"/>
    <x v="131"/>
    <x v="1"/>
    <x v="2"/>
    <s v="Chennai"/>
    <x v="4"/>
    <s v="Statesman Cars"/>
    <s v="Tata Motors"/>
    <x v="3"/>
    <x v="12"/>
    <s v="XZ+"/>
    <x v="0"/>
    <n v="1"/>
    <n v="1250000"/>
    <n v="1249785.7"/>
    <n v="7.5"/>
    <n v="0"/>
    <n v="1249785.7"/>
    <n v="93733.93"/>
    <n v="1156051.77"/>
    <s v="Not achive"/>
  </r>
  <r>
    <n v="800571"/>
    <x v="131"/>
    <x v="0"/>
    <x v="7"/>
    <s v="Kolkata"/>
    <x v="0"/>
    <s v="Reliance Trishakti"/>
    <s v="Tata Motors"/>
    <x v="0"/>
    <x v="0"/>
    <s v="XE"/>
    <x v="9"/>
    <n v="2"/>
    <n v="750000"/>
    <n v="743403.44"/>
    <n v="2"/>
    <n v="0"/>
    <n v="1486806.88"/>
    <n v="29736.14"/>
    <n v="1457070.74"/>
    <s v="Not achive"/>
  </r>
  <r>
    <n v="800259"/>
    <x v="132"/>
    <x v="2"/>
    <x v="3"/>
    <s v="Noida"/>
    <x v="2"/>
    <s v="National Tata Dealership"/>
    <s v="Tata Motors"/>
    <x v="3"/>
    <x v="12"/>
    <s v="XE"/>
    <x v="6"/>
    <n v="3"/>
    <n v="1250000"/>
    <n v="1272763.6399999999"/>
    <n v="2"/>
    <n v="0"/>
    <n v="3818290.92"/>
    <n v="76365.820000000007"/>
    <n v="3741925.1"/>
    <s v="Achive"/>
  </r>
  <r>
    <n v="800426"/>
    <x v="132"/>
    <x v="0"/>
    <x v="0"/>
    <s v="Patna"/>
    <x v="3"/>
    <s v="Om Sai Auto Hub"/>
    <s v="Tata Motors"/>
    <x v="3"/>
    <x v="8"/>
    <s v="Empowered"/>
    <x v="9"/>
    <n v="3"/>
    <n v="1500000"/>
    <n v="1466863.23"/>
    <n v="12.5"/>
    <n v="0"/>
    <n v="4400589.6900000004"/>
    <n v="550073.71"/>
    <n v="3850515.98"/>
    <s v="Achive"/>
  </r>
  <r>
    <n v="800580"/>
    <x v="132"/>
    <x v="0"/>
    <x v="1"/>
    <s v="Bhubaneswar"/>
    <x v="1"/>
    <s v="Big Wheels Auto"/>
    <s v="Tata Motors"/>
    <x v="1"/>
    <x v="1"/>
    <s v="Base"/>
    <x v="0"/>
    <n v="4"/>
    <n v="550000"/>
    <n v="557703.46"/>
    <n v="0"/>
    <n v="0"/>
    <n v="2230813.84"/>
    <n v="0"/>
    <n v="2230813.84"/>
    <s v="Achive"/>
  </r>
  <r>
    <n v="800206"/>
    <x v="133"/>
    <x v="0"/>
    <x v="0"/>
    <s v="Gaya"/>
    <x v="3"/>
    <s v="Sai Service Tata"/>
    <s v="Tata Motors"/>
    <x v="0"/>
    <x v="0"/>
    <s v="XE"/>
    <x v="5"/>
    <n v="1"/>
    <n v="750000"/>
    <n v="741750"/>
    <n v="0"/>
    <n v="0"/>
    <n v="741750"/>
    <n v="0"/>
    <n v="741750"/>
    <s v="Not achive"/>
  </r>
  <r>
    <n v="800487"/>
    <x v="133"/>
    <x v="2"/>
    <x v="3"/>
    <s v="Kanpur"/>
    <x v="0"/>
    <s v="Om Sai Auto Hub"/>
    <s v="Tata Motors"/>
    <x v="3"/>
    <x v="5"/>
    <s v="Adventure"/>
    <x v="7"/>
    <n v="3"/>
    <n v="1200000"/>
    <n v="1190829.5900000001"/>
    <n v="2"/>
    <n v="0"/>
    <n v="3572488.77"/>
    <n v="71449.78"/>
    <n v="3501038.99"/>
    <s v="Achive"/>
  </r>
  <r>
    <n v="800420"/>
    <x v="134"/>
    <x v="3"/>
    <x v="6"/>
    <s v="Ahmedabad"/>
    <x v="2"/>
    <s v="Reliance Trishakti"/>
    <s v="Tata Motors"/>
    <x v="3"/>
    <x v="11"/>
    <s v="Accomplished"/>
    <x v="8"/>
    <n v="3"/>
    <n v="1800000"/>
    <n v="1807490.18"/>
    <n v="0"/>
    <n v="0"/>
    <n v="5422470.54"/>
    <n v="0"/>
    <n v="5422470.54"/>
    <s v="Achive"/>
  </r>
  <r>
    <n v="800107"/>
    <x v="135"/>
    <x v="2"/>
    <x v="3"/>
    <s v="Lucknow"/>
    <x v="2"/>
    <s v="Sai Service Tata"/>
    <s v="Tata Motors"/>
    <x v="3"/>
    <x v="11"/>
    <s v="Creative"/>
    <x v="6"/>
    <n v="2"/>
    <n v="1800000"/>
    <n v="1786828.12"/>
    <n v="0"/>
    <n v="0"/>
    <n v="3573656.24"/>
    <n v="0"/>
    <n v="3573656.24"/>
    <s v="Achive"/>
  </r>
  <r>
    <n v="800391"/>
    <x v="135"/>
    <x v="3"/>
    <x v="6"/>
    <s v="Vadodara"/>
    <x v="1"/>
    <s v="Capital Cars"/>
    <s v="Tata Motors"/>
    <x v="0"/>
    <x v="10"/>
    <s v="Fearless+"/>
    <x v="0"/>
    <n v="1"/>
    <n v="950000"/>
    <n v="953519.9"/>
    <n v="10"/>
    <n v="0"/>
    <n v="953519.9"/>
    <n v="95351.99"/>
    <n v="858167.91"/>
    <s v="Not achive"/>
  </r>
  <r>
    <n v="800481"/>
    <x v="135"/>
    <x v="0"/>
    <x v="7"/>
    <s v="Kolkata"/>
    <x v="3"/>
    <s v="Statesman Cars"/>
    <s v="Tata Motors"/>
    <x v="2"/>
    <x v="2"/>
    <s v="AC Cabin"/>
    <x v="9"/>
    <n v="4"/>
    <n v="800000"/>
    <n v="783334.12"/>
    <n v="7.5"/>
    <n v="0"/>
    <n v="3133336.48"/>
    <n v="235000.24"/>
    <n v="2898336.24"/>
    <s v="Achive"/>
  </r>
  <r>
    <n v="800511"/>
    <x v="136"/>
    <x v="1"/>
    <x v="5"/>
    <s v="Hyderabad"/>
    <x v="0"/>
    <s v="Statesman Cars"/>
    <s v="Tata Motors"/>
    <x v="0"/>
    <x v="7"/>
    <s v="Fearless+"/>
    <x v="0"/>
    <n v="1"/>
    <n v="1700000"/>
    <n v="1705491.5"/>
    <n v="5"/>
    <n v="0"/>
    <n v="1705491.5"/>
    <n v="85274.57"/>
    <n v="1620216.93"/>
    <s v="Not achive"/>
  </r>
  <r>
    <n v="800136"/>
    <x v="137"/>
    <x v="1"/>
    <x v="13"/>
    <s v="Thiruvananthapuram"/>
    <x v="1"/>
    <s v="Capital Cars"/>
    <s v="Tata Motors"/>
    <x v="3"/>
    <x v="5"/>
    <s v="Smart"/>
    <x v="8"/>
    <n v="2"/>
    <n v="1200000"/>
    <n v="1185418.45"/>
    <n v="0"/>
    <n v="0"/>
    <n v="2370836.9"/>
    <n v="0"/>
    <n v="2370836.9"/>
    <s v="Achive"/>
  </r>
  <r>
    <n v="800220"/>
    <x v="137"/>
    <x v="2"/>
    <x v="11"/>
    <s v="New Delhi"/>
    <x v="4"/>
    <s v="Reliance Trishakti"/>
    <s v="Tata Motors"/>
    <x v="0"/>
    <x v="0"/>
    <s v="XZ+"/>
    <x v="4"/>
    <n v="3"/>
    <n v="750000"/>
    <n v="736646.74"/>
    <n v="0"/>
    <n v="0"/>
    <n v="2209940.2200000002"/>
    <n v="0"/>
    <n v="2209940.2200000002"/>
    <s v="Achive"/>
  </r>
  <r>
    <n v="800348"/>
    <x v="137"/>
    <x v="0"/>
    <x v="0"/>
    <s v="Patna"/>
    <x v="1"/>
    <s v="Sai Service Tata"/>
    <s v="Tata Motors"/>
    <x v="2"/>
    <x v="9"/>
    <s v="CX"/>
    <x v="2"/>
    <n v="6"/>
    <n v="1000000"/>
    <n v="1004302.18"/>
    <n v="0"/>
    <n v="0"/>
    <n v="6025813.0800000001"/>
    <n v="0"/>
    <n v="6025813.0800000001"/>
    <s v="Achive"/>
  </r>
  <r>
    <n v="800191"/>
    <x v="138"/>
    <x v="2"/>
    <x v="4"/>
    <s v="Panipat"/>
    <x v="1"/>
    <s v="National Tata Dealership"/>
    <s v="Tata Motors"/>
    <x v="0"/>
    <x v="14"/>
    <s v="XE"/>
    <x v="8"/>
    <n v="3"/>
    <n v="650000"/>
    <n v="654039.92000000004"/>
    <n v="2"/>
    <n v="0"/>
    <n v="1962119.76"/>
    <n v="39242.400000000001"/>
    <n v="1922877.36"/>
    <s v="Not achive"/>
  </r>
  <r>
    <n v="800235"/>
    <x v="139"/>
    <x v="0"/>
    <x v="1"/>
    <s v="Bhubaneswar"/>
    <x v="2"/>
    <s v="Om Sai Auto Hub"/>
    <s v="Tata Motors"/>
    <x v="3"/>
    <x v="8"/>
    <s v="Creative"/>
    <x v="6"/>
    <n v="1"/>
    <n v="1500000"/>
    <n v="1492103.62"/>
    <n v="7.5"/>
    <n v="0"/>
    <n v="1492103.62"/>
    <n v="111907.77"/>
    <n v="1380195.85"/>
    <s v="Not achive"/>
  </r>
  <r>
    <n v="800398"/>
    <x v="139"/>
    <x v="0"/>
    <x v="1"/>
    <s v="Bhubaneswar"/>
    <x v="2"/>
    <s v="Metro Tata Motors"/>
    <s v="Tata Motors"/>
    <x v="3"/>
    <x v="12"/>
    <s v="XZ+"/>
    <x v="1"/>
    <n v="3"/>
    <n v="1250000"/>
    <n v="1272287.1499999999"/>
    <n v="0"/>
    <n v="0"/>
    <n v="3816861.45"/>
    <n v="0"/>
    <n v="3816861.45"/>
    <s v="Achive"/>
  </r>
  <r>
    <n v="800015"/>
    <x v="140"/>
    <x v="3"/>
    <x v="9"/>
    <s v="Jodhpur"/>
    <x v="0"/>
    <s v="Reliance Trishakti"/>
    <s v="Tata Motors"/>
    <x v="0"/>
    <x v="7"/>
    <s v="Pure"/>
    <x v="1"/>
    <n v="3"/>
    <n v="1700000"/>
    <n v="1687376.32"/>
    <n v="2"/>
    <n v="0"/>
    <n v="5062128.96"/>
    <n v="101242.58"/>
    <n v="4960886.38"/>
    <s v="Achive"/>
  </r>
  <r>
    <n v="800018"/>
    <x v="140"/>
    <x v="2"/>
    <x v="11"/>
    <s v="Dwarka"/>
    <x v="4"/>
    <s v="Metro Tata Motors"/>
    <s v="Tata Motors"/>
    <x v="3"/>
    <x v="8"/>
    <s v="Fearless"/>
    <x v="0"/>
    <n v="3"/>
    <n v="1500000"/>
    <n v="1504009.16"/>
    <n v="0"/>
    <n v="0"/>
    <n v="4512027.4800000004"/>
    <n v="0"/>
    <n v="4512027.4800000004"/>
    <s v="Achive"/>
  </r>
  <r>
    <n v="800158"/>
    <x v="140"/>
    <x v="2"/>
    <x v="12"/>
    <s v="Jalandhar"/>
    <x v="0"/>
    <s v="Om Sai Auto Hub"/>
    <s v="Tata Motors"/>
    <x v="3"/>
    <x v="5"/>
    <s v="Empowered"/>
    <x v="7"/>
    <n v="1"/>
    <n v="1200000"/>
    <n v="1171719.8"/>
    <n v="0"/>
    <n v="0"/>
    <n v="1171719.8"/>
    <n v="0"/>
    <n v="1171719.8"/>
    <s v="Not achive"/>
  </r>
  <r>
    <n v="800239"/>
    <x v="141"/>
    <x v="2"/>
    <x v="11"/>
    <s v="New Delhi"/>
    <x v="0"/>
    <s v="Concorde Tata"/>
    <s v="Tata Motors"/>
    <x v="0"/>
    <x v="4"/>
    <s v="XZ+"/>
    <x v="8"/>
    <n v="3"/>
    <n v="800000"/>
    <n v="803199.31"/>
    <n v="0"/>
    <n v="1"/>
    <n v="2409597.9300000002"/>
    <n v="0"/>
    <n v="2409597.9300000002"/>
    <s v="Achive"/>
  </r>
  <r>
    <n v="800386"/>
    <x v="141"/>
    <x v="1"/>
    <x v="5"/>
    <s v="Warangal"/>
    <x v="1"/>
    <s v="Om Sai Auto Hub"/>
    <s v="Tata Motors"/>
    <x v="0"/>
    <x v="14"/>
    <s v="XZ+"/>
    <x v="5"/>
    <n v="1"/>
    <n v="650000"/>
    <n v="639836.91"/>
    <n v="10"/>
    <n v="0"/>
    <n v="639836.91"/>
    <n v="63983.69"/>
    <n v="575853.22"/>
    <s v="Not achive"/>
  </r>
  <r>
    <n v="800003"/>
    <x v="142"/>
    <x v="1"/>
    <x v="2"/>
    <s v="Chennai"/>
    <x v="0"/>
    <s v="Big Wheels Auto"/>
    <s v="Tata Motors"/>
    <x v="3"/>
    <x v="5"/>
    <s v="Smart"/>
    <x v="8"/>
    <n v="2"/>
    <n v="1200000"/>
    <n v="1170132.6200000001"/>
    <n v="10"/>
    <n v="0"/>
    <n v="2340265.2400000002"/>
    <n v="234026.52"/>
    <n v="2106238.7200000002"/>
    <s v="Achive"/>
  </r>
  <r>
    <n v="800084"/>
    <x v="142"/>
    <x v="3"/>
    <x v="6"/>
    <s v="Ahmedabad"/>
    <x v="4"/>
    <s v="Capital Cars"/>
    <s v="Tata Motors"/>
    <x v="3"/>
    <x v="5"/>
    <s v="Empowered"/>
    <x v="0"/>
    <n v="2"/>
    <n v="1200000"/>
    <n v="1218072.57"/>
    <n v="0"/>
    <n v="0"/>
    <n v="2436145.14"/>
    <n v="0"/>
    <n v="2436145.14"/>
    <s v="Achive"/>
  </r>
  <r>
    <n v="800286"/>
    <x v="142"/>
    <x v="1"/>
    <x v="5"/>
    <s v="Warangal"/>
    <x v="4"/>
    <s v="Prerna Automobiles"/>
    <s v="Tata Motors"/>
    <x v="2"/>
    <x v="2"/>
    <s v="AC Cabin"/>
    <x v="7"/>
    <n v="1"/>
    <n v="800000"/>
    <n v="782045.23"/>
    <n v="0"/>
    <n v="0"/>
    <n v="782045.23"/>
    <n v="0"/>
    <n v="782045.23"/>
    <s v="Not achive"/>
  </r>
  <r>
    <n v="800291"/>
    <x v="142"/>
    <x v="0"/>
    <x v="0"/>
    <s v="Gaya"/>
    <x v="3"/>
    <s v="Statesman Cars"/>
    <s v="Tata Motors"/>
    <x v="3"/>
    <x v="12"/>
    <s v="XE"/>
    <x v="2"/>
    <n v="3"/>
    <n v="1250000"/>
    <n v="1261221.54"/>
    <n v="5"/>
    <n v="0"/>
    <n v="3783664.62"/>
    <n v="189183.23"/>
    <n v="3594481.39"/>
    <s v="Achive"/>
  </r>
  <r>
    <n v="800353"/>
    <x v="142"/>
    <x v="1"/>
    <x v="2"/>
    <s v="Chennai"/>
    <x v="2"/>
    <s v="Landmark Motors"/>
    <s v="Tata Motors"/>
    <x v="0"/>
    <x v="14"/>
    <s v="XZ+"/>
    <x v="7"/>
    <n v="2"/>
    <n v="650000"/>
    <n v="647957.43999999994"/>
    <n v="0"/>
    <n v="0"/>
    <n v="1295914.8799999999"/>
    <n v="0"/>
    <n v="1295914.8799999999"/>
    <s v="Not achive"/>
  </r>
  <r>
    <n v="800114"/>
    <x v="143"/>
    <x v="2"/>
    <x v="12"/>
    <s v="Ludhiana"/>
    <x v="4"/>
    <s v="Prerna Automobiles"/>
    <s v="Tata Motors"/>
    <x v="0"/>
    <x v="10"/>
    <s v="Smart"/>
    <x v="2"/>
    <n v="3"/>
    <n v="950000"/>
    <n v="951578.17"/>
    <n v="2"/>
    <n v="0"/>
    <n v="2854734.51"/>
    <n v="57094.69"/>
    <n v="2797639.82"/>
    <s v="Achive"/>
  </r>
  <r>
    <n v="800568"/>
    <x v="144"/>
    <x v="2"/>
    <x v="11"/>
    <s v="Dwarka"/>
    <x v="2"/>
    <s v="Concorde Tata"/>
    <s v="Tata Motors"/>
    <x v="1"/>
    <x v="1"/>
    <s v="Base"/>
    <x v="7"/>
    <n v="2"/>
    <n v="550000"/>
    <n v="549659.07999999996"/>
    <n v="2"/>
    <n v="0"/>
    <n v="1099318.1599999999"/>
    <n v="21986.36"/>
    <n v="1077331.8"/>
    <s v="Not achive"/>
  </r>
  <r>
    <n v="800365"/>
    <x v="145"/>
    <x v="3"/>
    <x v="6"/>
    <s v="Ahmedabad"/>
    <x v="0"/>
    <s v="Big Wheels Auto"/>
    <s v="Tata Motors"/>
    <x v="3"/>
    <x v="12"/>
    <s v="XE"/>
    <x v="3"/>
    <n v="2"/>
    <n v="1250000"/>
    <n v="1236020.55"/>
    <n v="2"/>
    <n v="0"/>
    <n v="2472041.1"/>
    <n v="49440.82"/>
    <n v="2422600.2799999998"/>
    <s v="Achive"/>
  </r>
  <r>
    <n v="800381"/>
    <x v="145"/>
    <x v="3"/>
    <x v="9"/>
    <s v="Jaipur"/>
    <x v="2"/>
    <s v="Big Wheels Auto"/>
    <s v="Tata Motors"/>
    <x v="0"/>
    <x v="6"/>
    <s v="Creative+"/>
    <x v="0"/>
    <n v="1"/>
    <n v="700000"/>
    <n v="682039.5"/>
    <n v="5"/>
    <n v="0"/>
    <n v="682039.5"/>
    <n v="34101.97"/>
    <n v="647937.53"/>
    <s v="Not achive"/>
  </r>
  <r>
    <n v="800005"/>
    <x v="146"/>
    <x v="2"/>
    <x v="11"/>
    <s v="New Delhi"/>
    <x v="4"/>
    <s v="Concorde Tata"/>
    <s v="Tata Motors"/>
    <x v="2"/>
    <x v="2"/>
    <s v="Base"/>
    <x v="2"/>
    <n v="4"/>
    <n v="800000"/>
    <n v="787118.94"/>
    <n v="7.5"/>
    <n v="0"/>
    <n v="3148475.76"/>
    <n v="236135.67999999999"/>
    <n v="2912340.08"/>
    <s v="Achive"/>
  </r>
  <r>
    <n v="800355"/>
    <x v="147"/>
    <x v="2"/>
    <x v="12"/>
    <s v="Jalandhar"/>
    <x v="1"/>
    <s v="Concorde Tata"/>
    <s v="Tata Motors"/>
    <x v="3"/>
    <x v="5"/>
    <s v="Empowered"/>
    <x v="2"/>
    <n v="2"/>
    <n v="1200000"/>
    <n v="1169892.1399999999"/>
    <n v="12.5"/>
    <n v="0"/>
    <n v="2339784.2799999998"/>
    <n v="292473.03000000003"/>
    <n v="2047311.25"/>
    <s v="Achive"/>
  </r>
  <r>
    <n v="800560"/>
    <x v="147"/>
    <x v="2"/>
    <x v="3"/>
    <s v="Agra"/>
    <x v="0"/>
    <s v="Sai Service Tata"/>
    <s v="Tata Motors"/>
    <x v="0"/>
    <x v="4"/>
    <s v="XM"/>
    <x v="4"/>
    <n v="1"/>
    <n v="800000"/>
    <n v="786906.81"/>
    <n v="10"/>
    <n v="0"/>
    <n v="786906.81"/>
    <n v="78690.679999999993"/>
    <n v="708216.13"/>
    <s v="Not achive"/>
  </r>
  <r>
    <n v="800175"/>
    <x v="148"/>
    <x v="1"/>
    <x v="8"/>
    <s v="Hubli"/>
    <x v="4"/>
    <s v="Metro Tata Motors"/>
    <s v="Tata Motors"/>
    <x v="0"/>
    <x v="6"/>
    <s v="Adventure"/>
    <x v="5"/>
    <n v="2"/>
    <n v="700000"/>
    <n v="689568.1"/>
    <n v="0"/>
    <n v="0"/>
    <n v="1379136.2"/>
    <n v="0"/>
    <n v="1379136.2"/>
    <s v="Not achive"/>
  </r>
  <r>
    <n v="800237"/>
    <x v="148"/>
    <x v="0"/>
    <x v="7"/>
    <s v="Kolkata"/>
    <x v="0"/>
    <s v="Prerna Automobiles"/>
    <s v="Tata Motors"/>
    <x v="0"/>
    <x v="13"/>
    <s v="Smart"/>
    <x v="5"/>
    <n v="1"/>
    <n v="1900000"/>
    <n v="1926070.22"/>
    <n v="5"/>
    <n v="0"/>
    <n v="1926070.22"/>
    <n v="96303.51"/>
    <n v="1829766.71"/>
    <s v="Not achive"/>
  </r>
  <r>
    <n v="800357"/>
    <x v="148"/>
    <x v="3"/>
    <x v="9"/>
    <s v="Jodhpur"/>
    <x v="4"/>
    <s v="Metro Tata Motors"/>
    <s v="Tata Motors"/>
    <x v="0"/>
    <x v="4"/>
    <s v="XE"/>
    <x v="9"/>
    <n v="1"/>
    <n v="800000"/>
    <n v="807426.4"/>
    <n v="10"/>
    <n v="0"/>
    <n v="807426.4"/>
    <n v="80742.64"/>
    <n v="726683.76"/>
    <s v="Not achive"/>
  </r>
  <r>
    <n v="800363"/>
    <x v="148"/>
    <x v="1"/>
    <x v="2"/>
    <s v="Chennai"/>
    <x v="0"/>
    <s v="Prerna Automobiles"/>
    <s v="Tata Motors"/>
    <x v="0"/>
    <x v="0"/>
    <s v="XZ"/>
    <x v="9"/>
    <n v="1"/>
    <n v="750000"/>
    <n v="729105.32"/>
    <n v="2"/>
    <n v="0"/>
    <n v="729105.32"/>
    <n v="14582.11"/>
    <n v="714523.21"/>
    <s v="Not achive"/>
  </r>
  <r>
    <n v="800490"/>
    <x v="148"/>
    <x v="0"/>
    <x v="7"/>
    <s v="Howrah"/>
    <x v="0"/>
    <s v="Om Sai Auto Hub"/>
    <s v="Tata Motors"/>
    <x v="0"/>
    <x v="6"/>
    <s v="Creative+"/>
    <x v="4"/>
    <n v="2"/>
    <n v="700000"/>
    <n v="683867.41"/>
    <n v="10"/>
    <n v="0"/>
    <n v="1367734.82"/>
    <n v="136773.48000000001"/>
    <n v="1230961.3400000001"/>
    <s v="Not achive"/>
  </r>
  <r>
    <n v="800552"/>
    <x v="148"/>
    <x v="0"/>
    <x v="1"/>
    <s v="Cuttack"/>
    <x v="1"/>
    <s v="Metro Tata Motors"/>
    <s v="Tata Motors"/>
    <x v="0"/>
    <x v="6"/>
    <s v="Adventure"/>
    <x v="9"/>
    <n v="3"/>
    <n v="700000"/>
    <n v="700177.72"/>
    <n v="0"/>
    <n v="0"/>
    <n v="2100533.16"/>
    <n v="0"/>
    <n v="2100533.16"/>
    <s v="Achive"/>
  </r>
  <r>
    <n v="800329"/>
    <x v="149"/>
    <x v="2"/>
    <x v="4"/>
    <s v="Faridabad"/>
    <x v="0"/>
    <s v="Big Wheels Auto"/>
    <s v="Tata Motors"/>
    <x v="0"/>
    <x v="10"/>
    <s v="Smart"/>
    <x v="8"/>
    <n v="2"/>
    <n v="950000"/>
    <n v="937268.7"/>
    <n v="12.5"/>
    <n v="0"/>
    <n v="1874537.4"/>
    <n v="234317.17"/>
    <n v="1640220.23"/>
    <s v="Not achive"/>
  </r>
  <r>
    <n v="800419"/>
    <x v="149"/>
    <x v="0"/>
    <x v="7"/>
    <s v="Howrah"/>
    <x v="1"/>
    <s v="Big Wheels Auto"/>
    <s v="Tata Motors"/>
    <x v="0"/>
    <x v="3"/>
    <s v="Smart"/>
    <x v="3"/>
    <n v="2"/>
    <n v="1200000"/>
    <n v="1208019.46"/>
    <n v="0"/>
    <n v="0"/>
    <n v="2416038.92"/>
    <n v="0"/>
    <n v="2416038.92"/>
    <s v="Achive"/>
  </r>
  <r>
    <n v="800643"/>
    <x v="149"/>
    <x v="2"/>
    <x v="3"/>
    <s v="Agra"/>
    <x v="3"/>
    <s v="Sai Service Tata"/>
    <s v="Tata Motors"/>
    <x v="3"/>
    <x v="5"/>
    <s v="Empowered"/>
    <x v="1"/>
    <n v="3"/>
    <n v="1200000"/>
    <n v="1193903.46"/>
    <n v="0"/>
    <n v="0"/>
    <n v="3581710.38"/>
    <n v="0"/>
    <n v="3581710.38"/>
    <s v="Achive"/>
  </r>
  <r>
    <n v="800583"/>
    <x v="150"/>
    <x v="1"/>
    <x v="5"/>
    <s v="Warangal"/>
    <x v="1"/>
    <s v="Reliance Trishakti"/>
    <s v="Tata Motors"/>
    <x v="0"/>
    <x v="10"/>
    <s v="Creative"/>
    <x v="9"/>
    <n v="1"/>
    <n v="950000"/>
    <n v="922836.98"/>
    <n v="0"/>
    <n v="0"/>
    <n v="922836.98"/>
    <n v="0"/>
    <n v="922836.98"/>
    <s v="Not achive"/>
  </r>
  <r>
    <n v="800137"/>
    <x v="151"/>
    <x v="1"/>
    <x v="2"/>
    <s v="Coimbatore"/>
    <x v="0"/>
    <s v="Metro Tata Motors"/>
    <s v="Tata Motors"/>
    <x v="0"/>
    <x v="13"/>
    <s v="Pure"/>
    <x v="6"/>
    <n v="2"/>
    <n v="1900000"/>
    <n v="1935503.74"/>
    <n v="12.5"/>
    <n v="0"/>
    <n v="3871007.48"/>
    <n v="483875.93"/>
    <n v="3387131.55"/>
    <s v="Achive"/>
  </r>
  <r>
    <n v="800240"/>
    <x v="151"/>
    <x v="2"/>
    <x v="12"/>
    <s v="Jalandhar"/>
    <x v="3"/>
    <s v="Capital Cars"/>
    <s v="Tata Motors"/>
    <x v="0"/>
    <x v="0"/>
    <s v="XE"/>
    <x v="6"/>
    <n v="1"/>
    <n v="750000"/>
    <n v="754903.63"/>
    <n v="0"/>
    <n v="0"/>
    <n v="754903.63"/>
    <n v="0"/>
    <n v="754903.63"/>
    <s v="Not achive"/>
  </r>
  <r>
    <n v="800607"/>
    <x v="151"/>
    <x v="3"/>
    <x v="10"/>
    <s v="Pune"/>
    <x v="3"/>
    <s v="Sunrise Tata Showroom"/>
    <s v="Tata Motors"/>
    <x v="0"/>
    <x v="13"/>
    <s v="Smart"/>
    <x v="0"/>
    <n v="2"/>
    <n v="1900000"/>
    <n v="1901710.38"/>
    <n v="5"/>
    <n v="0"/>
    <n v="3803420.76"/>
    <n v="190171.04"/>
    <n v="3613249.72"/>
    <s v="Achive"/>
  </r>
  <r>
    <n v="800623"/>
    <x v="151"/>
    <x v="1"/>
    <x v="8"/>
    <s v="Hubli"/>
    <x v="4"/>
    <s v="Capital Cars"/>
    <s v="Tata Motors"/>
    <x v="1"/>
    <x v="1"/>
    <s v="CNG"/>
    <x v="5"/>
    <n v="6"/>
    <n v="550000"/>
    <n v="550096.62"/>
    <n v="7.5"/>
    <n v="0"/>
    <n v="3300579.72"/>
    <n v="247543.48"/>
    <n v="3053036.24"/>
    <s v="Achive"/>
  </r>
  <r>
    <n v="800029"/>
    <x v="152"/>
    <x v="3"/>
    <x v="9"/>
    <s v="Jodhpur"/>
    <x v="1"/>
    <s v="Sai Service Tata"/>
    <s v="Tata Motors"/>
    <x v="3"/>
    <x v="8"/>
    <s v="Empowered"/>
    <x v="0"/>
    <n v="1"/>
    <n v="1500000"/>
    <n v="1460643.29"/>
    <n v="0"/>
    <n v="0"/>
    <n v="1460643.29"/>
    <n v="0"/>
    <n v="1460643.29"/>
    <s v="Not achive"/>
  </r>
  <r>
    <n v="800092"/>
    <x v="152"/>
    <x v="0"/>
    <x v="0"/>
    <s v="Patna"/>
    <x v="2"/>
    <s v="Landmark Motors"/>
    <s v="Tata Motors"/>
    <x v="3"/>
    <x v="5"/>
    <s v="Adventure"/>
    <x v="2"/>
    <n v="1"/>
    <n v="1200000"/>
    <n v="1178088"/>
    <n v="0"/>
    <n v="0"/>
    <n v="1178088"/>
    <n v="0"/>
    <n v="1178088"/>
    <s v="Not achive"/>
  </r>
  <r>
    <n v="800093"/>
    <x v="152"/>
    <x v="0"/>
    <x v="1"/>
    <s v="Cuttack"/>
    <x v="0"/>
    <s v="Reliance Trishakti"/>
    <s v="Tata Motors"/>
    <x v="0"/>
    <x v="0"/>
    <s v="XZ"/>
    <x v="7"/>
    <n v="2"/>
    <n v="750000"/>
    <n v="762714.49"/>
    <n v="5"/>
    <n v="1"/>
    <n v="1525428.98"/>
    <n v="76271.45"/>
    <n v="1449157.53"/>
    <s v="Not achive"/>
  </r>
  <r>
    <n v="800521"/>
    <x v="152"/>
    <x v="3"/>
    <x v="6"/>
    <s v="Vadodara"/>
    <x v="2"/>
    <s v="National Tata Dealership"/>
    <s v="Tata Motors"/>
    <x v="0"/>
    <x v="4"/>
    <s v="XM"/>
    <x v="2"/>
    <n v="1"/>
    <n v="800000"/>
    <n v="786955.73"/>
    <n v="10"/>
    <n v="0"/>
    <n v="786955.73"/>
    <n v="78695.570000000007"/>
    <n v="708260.16"/>
    <s v="Not achive"/>
  </r>
  <r>
    <n v="800644"/>
    <x v="153"/>
    <x v="1"/>
    <x v="8"/>
    <s v="Hubli"/>
    <x v="3"/>
    <s v="Capital Cars"/>
    <s v="Tata Motors"/>
    <x v="3"/>
    <x v="8"/>
    <s v="Creative"/>
    <x v="8"/>
    <n v="2"/>
    <n v="1500000"/>
    <n v="1480599.01"/>
    <n v="0"/>
    <n v="0"/>
    <n v="2961198.02"/>
    <n v="0"/>
    <n v="2961198.02"/>
    <s v="Achive"/>
  </r>
  <r>
    <n v="800224"/>
    <x v="154"/>
    <x v="3"/>
    <x v="9"/>
    <s v="Jodhpur"/>
    <x v="1"/>
    <s v="National Tata Dealership"/>
    <s v="Tata Motors"/>
    <x v="0"/>
    <x v="0"/>
    <s v="XZ+"/>
    <x v="4"/>
    <n v="2"/>
    <n v="750000"/>
    <n v="731919.81"/>
    <n v="5"/>
    <n v="0"/>
    <n v="1463839.62"/>
    <n v="73191.98"/>
    <n v="1390647.64"/>
    <s v="Not achive"/>
  </r>
  <r>
    <n v="800233"/>
    <x v="155"/>
    <x v="3"/>
    <x v="10"/>
    <s v="Nagpur"/>
    <x v="4"/>
    <s v="Prerna Automobiles"/>
    <s v="Tata Motors"/>
    <x v="1"/>
    <x v="1"/>
    <s v="CNG"/>
    <x v="1"/>
    <n v="2"/>
    <n v="550000"/>
    <n v="549379.19999999995"/>
    <n v="5"/>
    <n v="0"/>
    <n v="1098758.3999999999"/>
    <n v="54937.919999999998"/>
    <n v="1043820.48"/>
    <s v="Not achive"/>
  </r>
  <r>
    <n v="800280"/>
    <x v="155"/>
    <x v="3"/>
    <x v="10"/>
    <s v="Pune"/>
    <x v="2"/>
    <s v="Landmark Motors"/>
    <s v="Tata Motors"/>
    <x v="3"/>
    <x v="5"/>
    <s v="Smart"/>
    <x v="9"/>
    <n v="2"/>
    <n v="1200000"/>
    <n v="1221099.73"/>
    <n v="0"/>
    <n v="0"/>
    <n v="2442199.46"/>
    <n v="0"/>
    <n v="2442199.46"/>
    <s v="Achive"/>
  </r>
  <r>
    <n v="800182"/>
    <x v="156"/>
    <x v="2"/>
    <x v="12"/>
    <s v="Amritsar"/>
    <x v="4"/>
    <s v="Metro Tata Motors"/>
    <s v="Tata Motors"/>
    <x v="0"/>
    <x v="4"/>
    <s v="XE"/>
    <x v="6"/>
    <n v="2"/>
    <n v="800000"/>
    <n v="815714.26"/>
    <n v="10"/>
    <n v="0"/>
    <n v="1631428.52"/>
    <n v="163142.85"/>
    <n v="1468285.67"/>
    <s v="Not achive"/>
  </r>
  <r>
    <n v="800323"/>
    <x v="157"/>
    <x v="3"/>
    <x v="10"/>
    <s v="Nagpur"/>
    <x v="2"/>
    <s v="Statesman Cars"/>
    <s v="Tata Motors"/>
    <x v="0"/>
    <x v="0"/>
    <s v="XZ"/>
    <x v="7"/>
    <n v="2"/>
    <n v="750000"/>
    <n v="757584.93"/>
    <n v="12.5"/>
    <n v="0"/>
    <n v="1515169.86"/>
    <n v="189396.23"/>
    <n v="1325773.6299999999"/>
    <s v="Not achive"/>
  </r>
  <r>
    <n v="800373"/>
    <x v="158"/>
    <x v="2"/>
    <x v="12"/>
    <s v="Jalandhar"/>
    <x v="0"/>
    <s v="Big Wheels Auto"/>
    <s v="Tata Motors"/>
    <x v="2"/>
    <x v="2"/>
    <s v="Base"/>
    <x v="3"/>
    <n v="4"/>
    <n v="800000"/>
    <n v="785179.45"/>
    <n v="12.5"/>
    <n v="0"/>
    <n v="3140717.8"/>
    <n v="392589.72"/>
    <n v="2748128.08"/>
    <s v="Achive"/>
  </r>
  <r>
    <n v="800508"/>
    <x v="158"/>
    <x v="2"/>
    <x v="12"/>
    <s v="Ludhiana"/>
    <x v="0"/>
    <s v="Sai Service Tata"/>
    <s v="Tata Motors"/>
    <x v="2"/>
    <x v="9"/>
    <s v="CX"/>
    <x v="5"/>
    <n v="2"/>
    <n v="1000000"/>
    <n v="1009036.56"/>
    <n v="5"/>
    <n v="0"/>
    <n v="2018073.12"/>
    <n v="100903.66"/>
    <n v="1917169.46"/>
    <s v="Not achive"/>
  </r>
  <r>
    <n v="800311"/>
    <x v="159"/>
    <x v="1"/>
    <x v="8"/>
    <s v="Hubli"/>
    <x v="2"/>
    <s v="Reliance Trishakti"/>
    <s v="Tata Motors"/>
    <x v="0"/>
    <x v="13"/>
    <s v="Smart"/>
    <x v="8"/>
    <n v="3"/>
    <n v="1900000"/>
    <n v="1926313.59"/>
    <n v="5"/>
    <n v="0"/>
    <n v="5778940.7699999996"/>
    <n v="288947.03999999998"/>
    <n v="5489993.7300000004"/>
    <s v="Achive"/>
  </r>
  <r>
    <n v="800379"/>
    <x v="159"/>
    <x v="2"/>
    <x v="11"/>
    <s v="New Delhi"/>
    <x v="0"/>
    <s v="National Tata Dealership"/>
    <s v="Tata Motors"/>
    <x v="3"/>
    <x v="8"/>
    <s v="Creative"/>
    <x v="2"/>
    <n v="2"/>
    <n v="1500000"/>
    <n v="1471632.77"/>
    <n v="0"/>
    <n v="0"/>
    <n v="2943265.54"/>
    <n v="0"/>
    <n v="2943265.54"/>
    <s v="Achive"/>
  </r>
  <r>
    <n v="800298"/>
    <x v="160"/>
    <x v="3"/>
    <x v="6"/>
    <s v="Ahmedabad"/>
    <x v="1"/>
    <s v="Big Wheels Auto"/>
    <s v="Tata Motors"/>
    <x v="0"/>
    <x v="10"/>
    <s v="Smart"/>
    <x v="5"/>
    <n v="3"/>
    <n v="950000"/>
    <n v="960966.33"/>
    <n v="0"/>
    <n v="0"/>
    <n v="2882898.99"/>
    <n v="0"/>
    <n v="2882898.99"/>
    <s v="Achive"/>
  </r>
  <r>
    <n v="800142"/>
    <x v="161"/>
    <x v="3"/>
    <x v="9"/>
    <s v="Jodhpur"/>
    <x v="0"/>
    <s v="Big Wheels Auto"/>
    <s v="Tata Motors"/>
    <x v="0"/>
    <x v="7"/>
    <s v="Pure"/>
    <x v="8"/>
    <n v="1"/>
    <n v="1700000"/>
    <n v="1651202.63"/>
    <n v="0"/>
    <n v="0"/>
    <n v="1651202.63"/>
    <n v="0"/>
    <n v="1651202.63"/>
    <s v="Not achive"/>
  </r>
  <r>
    <n v="800444"/>
    <x v="161"/>
    <x v="3"/>
    <x v="10"/>
    <s v="Pune"/>
    <x v="4"/>
    <s v="Big Wheels Auto"/>
    <s v="Tata Motors"/>
    <x v="0"/>
    <x v="7"/>
    <s v="Pure"/>
    <x v="8"/>
    <n v="3"/>
    <n v="1700000"/>
    <n v="1672449.65"/>
    <n v="0"/>
    <n v="0"/>
    <n v="5017348.95"/>
    <n v="0"/>
    <n v="5017348.95"/>
    <s v="Achive"/>
  </r>
  <r>
    <n v="800600"/>
    <x v="161"/>
    <x v="2"/>
    <x v="3"/>
    <s v="Agra"/>
    <x v="1"/>
    <s v="Metro Tata Motors"/>
    <s v="Tata Motors"/>
    <x v="3"/>
    <x v="5"/>
    <s v="Empowered"/>
    <x v="9"/>
    <n v="3"/>
    <n v="1200000"/>
    <n v="1171323.23"/>
    <n v="2"/>
    <n v="0"/>
    <n v="3513969.69"/>
    <n v="70279.39"/>
    <n v="3443690.3"/>
    <s v="Achive"/>
  </r>
  <r>
    <n v="800045"/>
    <x v="162"/>
    <x v="2"/>
    <x v="3"/>
    <s v="Noida"/>
    <x v="0"/>
    <s v="National Tata Dealership"/>
    <s v="Tata Motors"/>
    <x v="0"/>
    <x v="13"/>
    <s v="Smart"/>
    <x v="7"/>
    <n v="2"/>
    <n v="1900000"/>
    <n v="1888313.07"/>
    <n v="7.5"/>
    <n v="0"/>
    <n v="3776626.14"/>
    <n v="283246.96000000002"/>
    <n v="3493379.18"/>
    <s v="Achive"/>
  </r>
  <r>
    <n v="800203"/>
    <x v="162"/>
    <x v="2"/>
    <x v="3"/>
    <s v="Agra"/>
    <x v="2"/>
    <s v="Prerna Automobiles"/>
    <s v="Tata Motors"/>
    <x v="3"/>
    <x v="12"/>
    <s v="XE"/>
    <x v="6"/>
    <n v="1"/>
    <n v="1250000"/>
    <n v="1231204.81"/>
    <n v="2"/>
    <n v="0"/>
    <n v="1231204.81"/>
    <n v="24624.1"/>
    <n v="1206580.71"/>
    <s v="Not achive"/>
  </r>
  <r>
    <n v="800581"/>
    <x v="162"/>
    <x v="0"/>
    <x v="7"/>
    <s v="Howrah"/>
    <x v="2"/>
    <s v="Landmark Motors"/>
    <s v="Tata Motors"/>
    <x v="0"/>
    <x v="4"/>
    <s v="XZ+"/>
    <x v="5"/>
    <n v="3"/>
    <n v="800000"/>
    <n v="782565.77"/>
    <n v="10"/>
    <n v="0"/>
    <n v="2347697.31"/>
    <n v="234769.73"/>
    <n v="2112927.58"/>
    <s v="Achive"/>
  </r>
  <r>
    <n v="800217"/>
    <x v="163"/>
    <x v="2"/>
    <x v="12"/>
    <s v="Ludhiana"/>
    <x v="0"/>
    <s v="Concorde Tata"/>
    <s v="Tata Motors"/>
    <x v="0"/>
    <x v="14"/>
    <s v="XE"/>
    <x v="5"/>
    <n v="1"/>
    <n v="650000"/>
    <n v="647096.98"/>
    <n v="2"/>
    <n v="0"/>
    <n v="647096.98"/>
    <n v="12941.94"/>
    <n v="634155.04"/>
    <s v="Not achive"/>
  </r>
  <r>
    <n v="800582"/>
    <x v="163"/>
    <x v="0"/>
    <x v="0"/>
    <s v="Gaya"/>
    <x v="1"/>
    <s v="Reliance Trishakti"/>
    <s v="Tata Motors"/>
    <x v="3"/>
    <x v="11"/>
    <s v="Empowered"/>
    <x v="1"/>
    <n v="2"/>
    <n v="1800000"/>
    <n v="1796602.99"/>
    <n v="0"/>
    <n v="0"/>
    <n v="3593205.98"/>
    <n v="0"/>
    <n v="3593205.98"/>
    <s v="Achive"/>
  </r>
  <r>
    <n v="800390"/>
    <x v="164"/>
    <x v="1"/>
    <x v="5"/>
    <s v="Hyderabad"/>
    <x v="1"/>
    <s v="Statesman Cars"/>
    <s v="Tata Motors"/>
    <x v="0"/>
    <x v="14"/>
    <s v="XZ+"/>
    <x v="6"/>
    <n v="2"/>
    <n v="650000"/>
    <n v="661038.77"/>
    <n v="0"/>
    <n v="0"/>
    <n v="1322077.54"/>
    <n v="0"/>
    <n v="1322077.54"/>
    <s v="Not achive"/>
  </r>
  <r>
    <n v="800443"/>
    <x v="164"/>
    <x v="2"/>
    <x v="3"/>
    <s v="Kanpur"/>
    <x v="1"/>
    <s v="Capital Cars"/>
    <s v="Tata Motors"/>
    <x v="3"/>
    <x v="11"/>
    <s v="Empowered"/>
    <x v="0"/>
    <n v="1"/>
    <n v="1800000"/>
    <n v="1768265.29"/>
    <n v="5"/>
    <n v="0"/>
    <n v="1768265.29"/>
    <n v="88413.26"/>
    <n v="1679852.03"/>
    <s v="Not achive"/>
  </r>
  <r>
    <n v="800534"/>
    <x v="164"/>
    <x v="3"/>
    <x v="9"/>
    <s v="Jaipur"/>
    <x v="1"/>
    <s v="Landmark Motors"/>
    <s v="Tata Motors"/>
    <x v="3"/>
    <x v="8"/>
    <s v="Creative"/>
    <x v="0"/>
    <n v="2"/>
    <n v="1500000"/>
    <n v="1510010.72"/>
    <n v="0"/>
    <n v="0"/>
    <n v="3020021.44"/>
    <n v="0"/>
    <n v="3020021.44"/>
    <s v="Achive"/>
  </r>
  <r>
    <n v="800628"/>
    <x v="164"/>
    <x v="1"/>
    <x v="13"/>
    <s v="Thiruvananthapuram"/>
    <x v="1"/>
    <s v="Concorde Tata"/>
    <s v="Tata Motors"/>
    <x v="1"/>
    <x v="1"/>
    <s v="Base"/>
    <x v="2"/>
    <n v="6"/>
    <n v="550000"/>
    <n v="551693.4"/>
    <n v="0"/>
    <n v="0"/>
    <n v="3310160.4"/>
    <n v="0"/>
    <n v="3310160.4"/>
    <s v="Achive"/>
  </r>
  <r>
    <n v="800024"/>
    <x v="165"/>
    <x v="2"/>
    <x v="12"/>
    <s v="Jalandhar"/>
    <x v="1"/>
    <s v="National Tata Dealership"/>
    <s v="Tata Motors"/>
    <x v="3"/>
    <x v="11"/>
    <s v="Accomplished"/>
    <x v="5"/>
    <n v="1"/>
    <n v="1800000"/>
    <n v="1806275.34"/>
    <n v="7.5"/>
    <n v="0"/>
    <n v="1806275.34"/>
    <n v="135470.65"/>
    <n v="1670804.69"/>
    <s v="Not achive"/>
  </r>
  <r>
    <n v="800166"/>
    <x v="165"/>
    <x v="3"/>
    <x v="9"/>
    <s v="Jodhpur"/>
    <x v="4"/>
    <s v="Capital Cars"/>
    <s v="Tata Motors"/>
    <x v="0"/>
    <x v="10"/>
    <s v="Fearless+"/>
    <x v="5"/>
    <n v="2"/>
    <n v="950000"/>
    <n v="927289.02"/>
    <n v="10"/>
    <n v="0"/>
    <n v="1854578.04"/>
    <n v="185457.8"/>
    <n v="1669120.24"/>
    <s v="Not achive"/>
  </r>
  <r>
    <n v="800246"/>
    <x v="166"/>
    <x v="3"/>
    <x v="6"/>
    <s v="Vadodara"/>
    <x v="2"/>
    <s v="National Tata Dealership"/>
    <s v="Tata Motors"/>
    <x v="0"/>
    <x v="0"/>
    <s v="XE"/>
    <x v="5"/>
    <n v="1"/>
    <n v="750000"/>
    <n v="728993.51"/>
    <n v="0"/>
    <n v="0"/>
    <n v="728993.51"/>
    <n v="0"/>
    <n v="728993.51"/>
    <s v="Not achive"/>
  </r>
  <r>
    <n v="800284"/>
    <x v="166"/>
    <x v="0"/>
    <x v="0"/>
    <s v="Patna"/>
    <x v="2"/>
    <s v="Prerna Automobiles"/>
    <s v="Tata Motors"/>
    <x v="0"/>
    <x v="4"/>
    <s v="XZ+"/>
    <x v="5"/>
    <n v="1"/>
    <n v="800000"/>
    <n v="794942.83"/>
    <n v="0"/>
    <n v="0"/>
    <n v="794942.83"/>
    <n v="0"/>
    <n v="794942.83"/>
    <s v="Not achive"/>
  </r>
  <r>
    <n v="800020"/>
    <x v="167"/>
    <x v="0"/>
    <x v="1"/>
    <s v="Cuttack"/>
    <x v="2"/>
    <s v="Reliance Trishakti"/>
    <s v="Tata Motors"/>
    <x v="3"/>
    <x v="11"/>
    <s v="Creative"/>
    <x v="2"/>
    <n v="1"/>
    <n v="1800000"/>
    <n v="1760968"/>
    <n v="12.5"/>
    <n v="0"/>
    <n v="1760968"/>
    <n v="220121"/>
    <n v="1540847"/>
    <s v="Not achive"/>
  </r>
  <r>
    <n v="800070"/>
    <x v="167"/>
    <x v="2"/>
    <x v="12"/>
    <s v="Ludhiana"/>
    <x v="0"/>
    <s v="Big Wheels Auto"/>
    <s v="Tata Motors"/>
    <x v="0"/>
    <x v="10"/>
    <s v="Fearless+"/>
    <x v="2"/>
    <n v="1"/>
    <n v="950000"/>
    <n v="937165.67"/>
    <n v="12.5"/>
    <n v="0"/>
    <n v="937165.67"/>
    <n v="117145.71"/>
    <n v="820019.96"/>
    <s v="Not achive"/>
  </r>
  <r>
    <n v="800106"/>
    <x v="167"/>
    <x v="1"/>
    <x v="2"/>
    <s v="Chennai"/>
    <x v="4"/>
    <s v="Sai Service Tata"/>
    <s v="Tata Motors"/>
    <x v="1"/>
    <x v="1"/>
    <s v="CNG"/>
    <x v="9"/>
    <n v="3"/>
    <n v="550000"/>
    <n v="533667.91"/>
    <n v="0"/>
    <n v="0"/>
    <n v="1601003.73"/>
    <n v="0"/>
    <n v="1601003.73"/>
    <s v="Not achive"/>
  </r>
  <r>
    <n v="800113"/>
    <x v="167"/>
    <x v="2"/>
    <x v="4"/>
    <s v="Faridabad"/>
    <x v="1"/>
    <s v="Capital Cars"/>
    <s v="Tata Motors"/>
    <x v="2"/>
    <x v="2"/>
    <s v="AC Cabin"/>
    <x v="2"/>
    <n v="4"/>
    <n v="800000"/>
    <n v="809779.37"/>
    <n v="2"/>
    <n v="0"/>
    <n v="3239117.48"/>
    <n v="64782.35"/>
    <n v="3174335.13"/>
    <s v="Achive"/>
  </r>
  <r>
    <n v="800483"/>
    <x v="167"/>
    <x v="3"/>
    <x v="9"/>
    <s v="Jaipur"/>
    <x v="0"/>
    <s v="Sai Service Tata"/>
    <s v="Tata Motors"/>
    <x v="1"/>
    <x v="1"/>
    <s v="Base"/>
    <x v="9"/>
    <n v="5"/>
    <n v="550000"/>
    <n v="551359.91"/>
    <n v="5"/>
    <n v="0"/>
    <n v="2756799.55"/>
    <n v="137839.98000000001"/>
    <n v="2618959.5699999998"/>
    <s v="Achive"/>
  </r>
  <r>
    <n v="800550"/>
    <x v="167"/>
    <x v="3"/>
    <x v="9"/>
    <s v="Jodhpur"/>
    <x v="4"/>
    <s v="Sai Service Tata"/>
    <s v="Tata Motors"/>
    <x v="0"/>
    <x v="0"/>
    <s v="XZ+"/>
    <x v="1"/>
    <n v="1"/>
    <n v="750000"/>
    <n v="732728.37"/>
    <n v="0"/>
    <n v="0"/>
    <n v="732728.37"/>
    <n v="0"/>
    <n v="732728.37"/>
    <s v="Not achive"/>
  </r>
  <r>
    <n v="800622"/>
    <x v="168"/>
    <x v="2"/>
    <x v="12"/>
    <s v="Amritsar"/>
    <x v="0"/>
    <s v="Sunrise Tata Showroom"/>
    <s v="Tata Motors"/>
    <x v="0"/>
    <x v="4"/>
    <s v="XE"/>
    <x v="6"/>
    <n v="1"/>
    <n v="800000"/>
    <n v="776820.48"/>
    <n v="2"/>
    <n v="0"/>
    <n v="776820.48"/>
    <n v="15536.41"/>
    <n v="761284.07"/>
    <s v="Not achive"/>
  </r>
  <r>
    <n v="800112"/>
    <x v="169"/>
    <x v="0"/>
    <x v="0"/>
    <s v="Gaya"/>
    <x v="2"/>
    <s v="Big Wheels Auto"/>
    <s v="Tata Motors"/>
    <x v="3"/>
    <x v="12"/>
    <s v="XZ+"/>
    <x v="7"/>
    <n v="2"/>
    <n v="1250000"/>
    <n v="1256843.69"/>
    <n v="10"/>
    <n v="0"/>
    <n v="2513687.38"/>
    <n v="251368.74"/>
    <n v="2262318.64"/>
    <s v="Achive"/>
  </r>
  <r>
    <n v="800349"/>
    <x v="170"/>
    <x v="2"/>
    <x v="11"/>
    <s v="New Delhi"/>
    <x v="2"/>
    <s v="Statesman Cars"/>
    <s v="Tata Motors"/>
    <x v="1"/>
    <x v="1"/>
    <s v="CNG"/>
    <x v="3"/>
    <n v="1"/>
    <n v="550000"/>
    <n v="549311.46"/>
    <n v="2"/>
    <n v="0"/>
    <n v="549311.46"/>
    <n v="10986.23"/>
    <n v="538325.23"/>
    <s v="Not achive"/>
  </r>
  <r>
    <n v="800595"/>
    <x v="170"/>
    <x v="3"/>
    <x v="9"/>
    <s v="Jaipur"/>
    <x v="0"/>
    <s v="Landmark Motors"/>
    <s v="Tata Motors"/>
    <x v="0"/>
    <x v="14"/>
    <s v="XE"/>
    <x v="9"/>
    <n v="3"/>
    <n v="650000"/>
    <n v="640184.31999999995"/>
    <n v="0"/>
    <n v="0"/>
    <n v="1920552.96"/>
    <n v="0"/>
    <n v="1920552.96"/>
    <s v="Not achive"/>
  </r>
  <r>
    <n v="800064"/>
    <x v="171"/>
    <x v="1"/>
    <x v="2"/>
    <s v="Chennai"/>
    <x v="3"/>
    <s v="Reliance Trishakti"/>
    <s v="Tata Motors"/>
    <x v="0"/>
    <x v="6"/>
    <s v="Adventure"/>
    <x v="2"/>
    <n v="1"/>
    <n v="700000"/>
    <n v="687395.28"/>
    <n v="0"/>
    <n v="0"/>
    <n v="687395.28"/>
    <n v="0"/>
    <n v="687395.28"/>
    <s v="Not achive"/>
  </r>
  <r>
    <n v="800317"/>
    <x v="171"/>
    <x v="2"/>
    <x v="4"/>
    <s v="Gurugram"/>
    <x v="2"/>
    <s v="Capital Cars"/>
    <s v="Tata Motors"/>
    <x v="0"/>
    <x v="6"/>
    <s v="Creative+"/>
    <x v="8"/>
    <n v="2"/>
    <n v="700000"/>
    <n v="708102.46"/>
    <n v="2"/>
    <n v="0"/>
    <n v="1416204.92"/>
    <n v="28324.1"/>
    <n v="1387880.82"/>
    <s v="Not achive"/>
  </r>
  <r>
    <n v="800031"/>
    <x v="172"/>
    <x v="0"/>
    <x v="1"/>
    <s v="Cuttack"/>
    <x v="3"/>
    <s v="Statesman Cars"/>
    <s v="Tata Motors"/>
    <x v="1"/>
    <x v="1"/>
    <s v="Base"/>
    <x v="6"/>
    <n v="1"/>
    <n v="550000"/>
    <n v="538432.42000000004"/>
    <n v="7.5"/>
    <n v="0"/>
    <n v="538432.42000000004"/>
    <n v="40382.43"/>
    <n v="498049.99"/>
    <s v="Not achive"/>
  </r>
  <r>
    <n v="800103"/>
    <x v="172"/>
    <x v="0"/>
    <x v="0"/>
    <s v="Patna"/>
    <x v="2"/>
    <s v="Concorde Tata"/>
    <s v="Tata Motors"/>
    <x v="3"/>
    <x v="8"/>
    <s v="Creative"/>
    <x v="9"/>
    <n v="1"/>
    <n v="1500000"/>
    <n v="1496727.81"/>
    <n v="7.5"/>
    <n v="0"/>
    <n v="1496727.81"/>
    <n v="112254.59"/>
    <n v="1384473.22"/>
    <s v="Not achive"/>
  </r>
  <r>
    <n v="800396"/>
    <x v="172"/>
    <x v="0"/>
    <x v="1"/>
    <s v="Cuttack"/>
    <x v="0"/>
    <s v="Sai Service Tata"/>
    <s v="Tata Motors"/>
    <x v="0"/>
    <x v="10"/>
    <s v="Creative"/>
    <x v="9"/>
    <n v="2"/>
    <n v="950000"/>
    <n v="948116.63"/>
    <n v="5"/>
    <n v="0"/>
    <n v="1896233.26"/>
    <n v="94811.66"/>
    <n v="1801421.6"/>
    <s v="Not achive"/>
  </r>
  <r>
    <n v="800208"/>
    <x v="173"/>
    <x v="0"/>
    <x v="0"/>
    <s v="Patna"/>
    <x v="2"/>
    <s v="Big Wheels Auto"/>
    <s v="Tata Motors"/>
    <x v="3"/>
    <x v="11"/>
    <s v="Creative"/>
    <x v="7"/>
    <n v="3"/>
    <n v="1800000"/>
    <n v="1816599.49"/>
    <n v="10"/>
    <n v="1"/>
    <n v="5449798.4699999997"/>
    <n v="544979.85"/>
    <n v="4904818.62"/>
    <s v="Achive"/>
  </r>
  <r>
    <n v="800307"/>
    <x v="173"/>
    <x v="1"/>
    <x v="5"/>
    <s v="Hyderabad"/>
    <x v="0"/>
    <s v="Landmark Motors"/>
    <s v="Tata Motors"/>
    <x v="2"/>
    <x v="2"/>
    <s v="Base"/>
    <x v="1"/>
    <n v="2"/>
    <n v="800000"/>
    <n v="796019.09"/>
    <n v="10"/>
    <n v="0"/>
    <n v="1592038.18"/>
    <n v="159203.82"/>
    <n v="1432834.36"/>
    <s v="Not achive"/>
  </r>
  <r>
    <n v="800436"/>
    <x v="173"/>
    <x v="3"/>
    <x v="9"/>
    <s v="Jaipur"/>
    <x v="3"/>
    <s v="Concorde Tata"/>
    <s v="Tata Motors"/>
    <x v="3"/>
    <x v="5"/>
    <s v="Adventure"/>
    <x v="9"/>
    <n v="3"/>
    <n v="1200000"/>
    <n v="1219448.28"/>
    <n v="0"/>
    <n v="0"/>
    <n v="3658344.84"/>
    <n v="0"/>
    <n v="3658344.84"/>
    <s v="Achive"/>
  </r>
  <r>
    <n v="800469"/>
    <x v="173"/>
    <x v="1"/>
    <x v="13"/>
    <s v="Thiruvananthapuram"/>
    <x v="0"/>
    <s v="Landmark Motors"/>
    <s v="Tata Motors"/>
    <x v="0"/>
    <x v="7"/>
    <s v="Smart"/>
    <x v="1"/>
    <n v="1"/>
    <n v="1700000"/>
    <n v="1702312.04"/>
    <n v="7.5"/>
    <n v="0"/>
    <n v="1702312.04"/>
    <n v="127673.4"/>
    <n v="1574638.64"/>
    <s v="Not achive"/>
  </r>
  <r>
    <n v="800500"/>
    <x v="173"/>
    <x v="1"/>
    <x v="8"/>
    <s v="Mysuru"/>
    <x v="3"/>
    <s v="Om Sai Auto Hub"/>
    <s v="Tata Motors"/>
    <x v="2"/>
    <x v="2"/>
    <s v="Base"/>
    <x v="9"/>
    <n v="1"/>
    <n v="800000"/>
    <n v="814693.83"/>
    <n v="0"/>
    <n v="0"/>
    <n v="814693.83"/>
    <n v="0"/>
    <n v="814693.83"/>
    <s v="Not achive"/>
  </r>
  <r>
    <n v="800592"/>
    <x v="173"/>
    <x v="2"/>
    <x v="3"/>
    <s v="Agra"/>
    <x v="0"/>
    <s v="Statesman Cars"/>
    <s v="Tata Motors"/>
    <x v="0"/>
    <x v="6"/>
    <s v="Pure"/>
    <x v="5"/>
    <n v="2"/>
    <n v="700000"/>
    <n v="693359.11"/>
    <n v="0"/>
    <n v="0"/>
    <n v="1386718.22"/>
    <n v="0"/>
    <n v="1386718.22"/>
    <s v="Not achive"/>
  </r>
  <r>
    <n v="800044"/>
    <x v="174"/>
    <x v="3"/>
    <x v="10"/>
    <s v="Nagpur"/>
    <x v="0"/>
    <s v="Sai Service Tata"/>
    <s v="Tata Motors"/>
    <x v="0"/>
    <x v="4"/>
    <s v="XZ+"/>
    <x v="8"/>
    <n v="1"/>
    <n v="800000"/>
    <n v="792594.72"/>
    <n v="7.5"/>
    <n v="0"/>
    <n v="792594.72"/>
    <n v="59444.6"/>
    <n v="733150.12"/>
    <s v="Not achive"/>
  </r>
  <r>
    <n v="800466"/>
    <x v="174"/>
    <x v="3"/>
    <x v="9"/>
    <s v="Jodhpur"/>
    <x v="3"/>
    <s v="Landmark Motors"/>
    <s v="Tata Motors"/>
    <x v="0"/>
    <x v="0"/>
    <s v="XE"/>
    <x v="1"/>
    <n v="3"/>
    <n v="750000"/>
    <n v="757377.47"/>
    <n v="2"/>
    <n v="0"/>
    <n v="2272132.41"/>
    <n v="45442.65"/>
    <n v="2226689.7599999998"/>
    <s v="Achive"/>
  </r>
  <r>
    <n v="800009"/>
    <x v="175"/>
    <x v="0"/>
    <x v="7"/>
    <s v="Kolkata"/>
    <x v="3"/>
    <s v="Om Sai Auto Hub"/>
    <s v="Tata Motors"/>
    <x v="0"/>
    <x v="3"/>
    <s v="Smart"/>
    <x v="0"/>
    <n v="1"/>
    <n v="1200000"/>
    <n v="1173170.48"/>
    <n v="0"/>
    <n v="0"/>
    <n v="1173170.48"/>
    <n v="0"/>
    <n v="1173170.48"/>
    <s v="Not achive"/>
  </r>
  <r>
    <n v="800122"/>
    <x v="175"/>
    <x v="0"/>
    <x v="0"/>
    <s v="Patna"/>
    <x v="4"/>
    <s v="Om Sai Auto Hub"/>
    <s v="Tata Motors"/>
    <x v="3"/>
    <x v="8"/>
    <s v="Empowered"/>
    <x v="9"/>
    <n v="1"/>
    <n v="1500000"/>
    <n v="1505258.73"/>
    <n v="0"/>
    <n v="0"/>
    <n v="1505258.73"/>
    <n v="0"/>
    <n v="1505258.73"/>
    <s v="Not achive"/>
  </r>
  <r>
    <n v="800585"/>
    <x v="175"/>
    <x v="1"/>
    <x v="2"/>
    <s v="Chennai"/>
    <x v="4"/>
    <s v="Concorde Tata"/>
    <s v="Tata Motors"/>
    <x v="0"/>
    <x v="10"/>
    <s v="Smart"/>
    <x v="0"/>
    <n v="3"/>
    <n v="950000"/>
    <n v="936990.55"/>
    <n v="12.5"/>
    <n v="0"/>
    <n v="2810971.65"/>
    <n v="351371.46"/>
    <n v="2459600.19"/>
    <s v="Achive"/>
  </r>
  <r>
    <n v="800566"/>
    <x v="176"/>
    <x v="2"/>
    <x v="11"/>
    <s v="New Delhi"/>
    <x v="3"/>
    <s v="Sai Service Tata"/>
    <s v="Tata Motors"/>
    <x v="0"/>
    <x v="4"/>
    <s v="XZ+"/>
    <x v="8"/>
    <n v="2"/>
    <n v="800000"/>
    <n v="781013.77"/>
    <n v="0"/>
    <n v="0"/>
    <n v="1562027.54"/>
    <n v="0"/>
    <n v="1562027.54"/>
    <s v="Not achive"/>
  </r>
  <r>
    <n v="800008"/>
    <x v="177"/>
    <x v="1"/>
    <x v="8"/>
    <s v="Bengaluru"/>
    <x v="0"/>
    <s v="Metro Tata Motors"/>
    <s v="Tata Motors"/>
    <x v="2"/>
    <x v="9"/>
    <s v="CX"/>
    <x v="4"/>
    <n v="3"/>
    <n v="1000000"/>
    <n v="976981.52"/>
    <n v="5"/>
    <n v="0"/>
    <n v="2930944.56"/>
    <n v="146547.23000000001"/>
    <n v="2784397.33"/>
    <s v="Achive"/>
  </r>
  <r>
    <n v="800063"/>
    <x v="177"/>
    <x v="2"/>
    <x v="12"/>
    <s v="Jalandhar"/>
    <x v="1"/>
    <s v="National Tata Dealership"/>
    <s v="Tata Motors"/>
    <x v="0"/>
    <x v="6"/>
    <s v="Creative+"/>
    <x v="6"/>
    <n v="2"/>
    <n v="700000"/>
    <n v="710797.65"/>
    <n v="5"/>
    <n v="0"/>
    <n v="1421595.3"/>
    <n v="71079.759999999995"/>
    <n v="1350515.54"/>
    <s v="Not achive"/>
  </r>
  <r>
    <n v="800221"/>
    <x v="177"/>
    <x v="0"/>
    <x v="7"/>
    <s v="Kolkata"/>
    <x v="0"/>
    <s v="Reliance Trishakti"/>
    <s v="Tata Motors"/>
    <x v="0"/>
    <x v="4"/>
    <s v="XE"/>
    <x v="6"/>
    <n v="2"/>
    <n v="800000"/>
    <n v="777167.69"/>
    <n v="2"/>
    <n v="0"/>
    <n v="1554335.38"/>
    <n v="31086.71"/>
    <n v="1523248.67"/>
    <s v="Not achive"/>
  </r>
  <r>
    <n v="800242"/>
    <x v="177"/>
    <x v="3"/>
    <x v="6"/>
    <s v="Ahmedabad"/>
    <x v="0"/>
    <s v="Prerna Automobiles"/>
    <s v="Tata Motors"/>
    <x v="0"/>
    <x v="0"/>
    <s v="XE"/>
    <x v="4"/>
    <n v="1"/>
    <n v="750000"/>
    <n v="749609.02"/>
    <n v="10"/>
    <n v="0"/>
    <n v="749609.02"/>
    <n v="74960.899999999994"/>
    <n v="674648.12"/>
    <s v="Not achive"/>
  </r>
  <r>
    <n v="800250"/>
    <x v="177"/>
    <x v="0"/>
    <x v="7"/>
    <s v="Howrah"/>
    <x v="3"/>
    <s v="Big Wheels Auto"/>
    <s v="Tata Motors"/>
    <x v="0"/>
    <x v="4"/>
    <s v="XZ+"/>
    <x v="5"/>
    <n v="3"/>
    <n v="800000"/>
    <n v="811456.59"/>
    <n v="0"/>
    <n v="0"/>
    <n v="2434369.77"/>
    <n v="0"/>
    <n v="2434369.77"/>
    <s v="Achive"/>
  </r>
  <r>
    <n v="800573"/>
    <x v="177"/>
    <x v="0"/>
    <x v="7"/>
    <s v="Howrah"/>
    <x v="1"/>
    <s v="Sai Service Tata"/>
    <s v="Tata Motors"/>
    <x v="3"/>
    <x v="5"/>
    <s v="Empowered"/>
    <x v="1"/>
    <n v="1"/>
    <n v="1200000"/>
    <n v="1197234.95"/>
    <n v="5"/>
    <n v="0"/>
    <n v="1197234.95"/>
    <n v="59861.75"/>
    <n v="1137373.2"/>
    <s v="Not achive"/>
  </r>
  <r>
    <n v="800037"/>
    <x v="178"/>
    <x v="0"/>
    <x v="1"/>
    <s v="Bhubaneswar"/>
    <x v="3"/>
    <s v="National Tata Dealership"/>
    <s v="Tata Motors"/>
    <x v="3"/>
    <x v="12"/>
    <s v="XZ+"/>
    <x v="6"/>
    <n v="3"/>
    <n v="1250000"/>
    <n v="1264607.82"/>
    <n v="5"/>
    <n v="0"/>
    <n v="3793823.46"/>
    <n v="189691.17"/>
    <n v="3604132.29"/>
    <s v="Achive"/>
  </r>
  <r>
    <n v="800211"/>
    <x v="178"/>
    <x v="3"/>
    <x v="6"/>
    <s v="Vadodara"/>
    <x v="3"/>
    <s v="Sunrise Tata Showroom"/>
    <s v="Tata Motors"/>
    <x v="0"/>
    <x v="14"/>
    <s v="XT"/>
    <x v="9"/>
    <n v="3"/>
    <n v="650000"/>
    <n v="642846.42000000004"/>
    <n v="7.5"/>
    <n v="0"/>
    <n v="1928539.26"/>
    <n v="144640.44"/>
    <n v="1783898.82"/>
    <s v="Not achive"/>
  </r>
  <r>
    <n v="800139"/>
    <x v="179"/>
    <x v="1"/>
    <x v="5"/>
    <s v="Warangal"/>
    <x v="3"/>
    <s v="Sai Service Tata"/>
    <s v="Tata Motors"/>
    <x v="0"/>
    <x v="3"/>
    <s v="Creative"/>
    <x v="1"/>
    <n v="1"/>
    <n v="1200000"/>
    <n v="1207608.8600000001"/>
    <n v="7.5"/>
    <n v="0"/>
    <n v="1207608.8600000001"/>
    <n v="90570.66"/>
    <n v="1117038.2"/>
    <s v="Not achive"/>
  </r>
  <r>
    <n v="800201"/>
    <x v="179"/>
    <x v="2"/>
    <x v="11"/>
    <s v="Dwarka"/>
    <x v="0"/>
    <s v="Metro Tata Motors"/>
    <s v="Tata Motors"/>
    <x v="3"/>
    <x v="11"/>
    <s v="Accomplished"/>
    <x v="0"/>
    <n v="3"/>
    <n v="1800000"/>
    <n v="1746850.52"/>
    <n v="0"/>
    <n v="0"/>
    <n v="5240551.5599999996"/>
    <n v="0"/>
    <n v="5240551.5599999996"/>
    <s v="Achive"/>
  </r>
  <r>
    <n v="800484"/>
    <x v="179"/>
    <x v="0"/>
    <x v="0"/>
    <s v="Patna"/>
    <x v="1"/>
    <s v="Statesman Cars"/>
    <s v="Tata Motors"/>
    <x v="0"/>
    <x v="3"/>
    <s v="Creative"/>
    <x v="2"/>
    <n v="2"/>
    <n v="1200000"/>
    <n v="1176494.29"/>
    <n v="10"/>
    <n v="0"/>
    <n v="2352988.58"/>
    <n v="235298.86"/>
    <n v="2117689.7200000002"/>
    <s v="Achive"/>
  </r>
  <r>
    <n v="800632"/>
    <x v="180"/>
    <x v="3"/>
    <x v="10"/>
    <s v="Nagpur"/>
    <x v="3"/>
    <s v="Concorde Tata"/>
    <s v="Tata Motors"/>
    <x v="2"/>
    <x v="2"/>
    <s v="Base"/>
    <x v="8"/>
    <n v="1"/>
    <n v="800000"/>
    <n v="784369.18"/>
    <n v="0"/>
    <n v="0"/>
    <n v="784369.18"/>
    <n v="0"/>
    <n v="784369.18"/>
    <s v="Not achive"/>
  </r>
  <r>
    <n v="800636"/>
    <x v="180"/>
    <x v="2"/>
    <x v="12"/>
    <s v="Jalandhar"/>
    <x v="4"/>
    <s v="Om Sai Auto Hub"/>
    <s v="Tata Motors"/>
    <x v="0"/>
    <x v="0"/>
    <s v="XZ"/>
    <x v="6"/>
    <n v="2"/>
    <n v="750000"/>
    <n v="731885.28"/>
    <n v="7.5"/>
    <n v="0"/>
    <n v="1463770.56"/>
    <n v="109782.79"/>
    <n v="1353987.77"/>
    <s v="Not achive"/>
  </r>
  <r>
    <n v="800119"/>
    <x v="181"/>
    <x v="3"/>
    <x v="10"/>
    <s v="Pune"/>
    <x v="2"/>
    <s v="Big Wheels Auto"/>
    <s v="Tata Motors"/>
    <x v="0"/>
    <x v="13"/>
    <s v="Smart"/>
    <x v="3"/>
    <n v="3"/>
    <n v="1900000"/>
    <n v="1859393.1"/>
    <n v="2"/>
    <n v="0"/>
    <n v="5578179.2999999998"/>
    <n v="111563.59"/>
    <n v="5466615.71"/>
    <s v="Achive"/>
  </r>
  <r>
    <n v="800409"/>
    <x v="181"/>
    <x v="0"/>
    <x v="0"/>
    <s v="Gaya"/>
    <x v="2"/>
    <s v="Statesman Cars"/>
    <s v="Tata Motors"/>
    <x v="0"/>
    <x v="14"/>
    <s v="XZ+"/>
    <x v="0"/>
    <n v="1"/>
    <n v="650000"/>
    <n v="662100.81000000006"/>
    <n v="5"/>
    <n v="0"/>
    <n v="662100.81000000006"/>
    <n v="33105.040000000001"/>
    <n v="628995.77"/>
    <s v="Not achive"/>
  </r>
  <r>
    <n v="800087"/>
    <x v="182"/>
    <x v="1"/>
    <x v="8"/>
    <s v="Bengaluru"/>
    <x v="3"/>
    <s v="National Tata Dealership"/>
    <s v="Tata Motors"/>
    <x v="3"/>
    <x v="5"/>
    <s v="Empowered"/>
    <x v="4"/>
    <n v="3"/>
    <n v="1200000"/>
    <n v="1169829.8400000001"/>
    <n v="0"/>
    <n v="0"/>
    <n v="3509489.52"/>
    <n v="0"/>
    <n v="3509489.52"/>
    <s v="Achive"/>
  </r>
  <r>
    <n v="800453"/>
    <x v="182"/>
    <x v="0"/>
    <x v="0"/>
    <s v="Patna"/>
    <x v="1"/>
    <s v="Om Sai Auto Hub"/>
    <s v="Tata Motors"/>
    <x v="3"/>
    <x v="8"/>
    <s v="Empowered"/>
    <x v="0"/>
    <n v="3"/>
    <n v="1500000"/>
    <n v="1484054.84"/>
    <n v="0"/>
    <n v="0"/>
    <n v="4452164.5199999996"/>
    <n v="0"/>
    <n v="4452164.5199999996"/>
    <s v="Achive"/>
  </r>
  <r>
    <n v="800041"/>
    <x v="183"/>
    <x v="3"/>
    <x v="9"/>
    <s v="Jodhpur"/>
    <x v="2"/>
    <s v="Om Sai Auto Hub"/>
    <s v="Tata Motors"/>
    <x v="0"/>
    <x v="6"/>
    <s v="Pure"/>
    <x v="1"/>
    <n v="1"/>
    <n v="700000"/>
    <n v="707049.58"/>
    <n v="7.5"/>
    <n v="0"/>
    <n v="707049.58"/>
    <n v="53028.72"/>
    <n v="654020.86"/>
    <s v="Not achive"/>
  </r>
  <r>
    <n v="800108"/>
    <x v="183"/>
    <x v="2"/>
    <x v="11"/>
    <s v="New Delhi"/>
    <x v="3"/>
    <s v="National Tata Dealership"/>
    <s v="Tata Motors"/>
    <x v="0"/>
    <x v="14"/>
    <s v="XZ+"/>
    <x v="2"/>
    <n v="2"/>
    <n v="650000"/>
    <n v="644901.17000000004"/>
    <n v="10"/>
    <n v="0"/>
    <n v="1289802.3400000001"/>
    <n v="128980.23"/>
    <n v="1160822.1100000001"/>
    <s v="Not achive"/>
  </r>
  <r>
    <n v="800116"/>
    <x v="183"/>
    <x v="0"/>
    <x v="7"/>
    <s v="Howrah"/>
    <x v="1"/>
    <s v="Reliance Trishakti"/>
    <s v="Tata Motors"/>
    <x v="0"/>
    <x v="7"/>
    <s v="Fearless+"/>
    <x v="9"/>
    <n v="3"/>
    <n v="1700000"/>
    <n v="1675871.81"/>
    <n v="12.5"/>
    <n v="0"/>
    <n v="5027615.43"/>
    <n v="628451.93000000005"/>
    <n v="4399163.5"/>
    <s v="Achive"/>
  </r>
  <r>
    <n v="800437"/>
    <x v="183"/>
    <x v="0"/>
    <x v="7"/>
    <s v="Howrah"/>
    <x v="3"/>
    <s v="Big Wheels Auto"/>
    <s v="Tata Motors"/>
    <x v="0"/>
    <x v="10"/>
    <s v="Fearless+"/>
    <x v="0"/>
    <n v="2"/>
    <n v="950000"/>
    <n v="929539.63"/>
    <n v="7.5"/>
    <n v="0"/>
    <n v="1859079.26"/>
    <n v="139430.94"/>
    <n v="1719648.32"/>
    <s v="Not achive"/>
  </r>
  <r>
    <n v="800143"/>
    <x v="184"/>
    <x v="2"/>
    <x v="4"/>
    <s v="Hisar"/>
    <x v="0"/>
    <s v="Prerna Automobiles"/>
    <s v="Tata Motors"/>
    <x v="3"/>
    <x v="12"/>
    <s v="XZ+"/>
    <x v="1"/>
    <n v="1"/>
    <n v="1250000"/>
    <n v="1220164.8400000001"/>
    <n v="0"/>
    <n v="0"/>
    <n v="1220164.8400000001"/>
    <n v="0"/>
    <n v="1220164.8400000001"/>
    <s v="Not achive"/>
  </r>
  <r>
    <n v="800327"/>
    <x v="184"/>
    <x v="1"/>
    <x v="8"/>
    <s v="Mysuru"/>
    <x v="4"/>
    <s v="Landmark Motors"/>
    <s v="Tata Motors"/>
    <x v="3"/>
    <x v="11"/>
    <s v="Creative"/>
    <x v="3"/>
    <n v="3"/>
    <n v="1800000"/>
    <n v="1780077.38"/>
    <n v="2"/>
    <n v="0"/>
    <n v="5340232.1399999997"/>
    <n v="106804.64"/>
    <n v="5233427.5"/>
    <s v="Achive"/>
  </r>
  <r>
    <n v="800485"/>
    <x v="184"/>
    <x v="1"/>
    <x v="8"/>
    <s v="Hubli"/>
    <x v="2"/>
    <s v="Sai Service Tata"/>
    <s v="Tata Motors"/>
    <x v="2"/>
    <x v="9"/>
    <s v="CX"/>
    <x v="2"/>
    <n v="5"/>
    <n v="1000000"/>
    <n v="999803.77"/>
    <n v="7.5"/>
    <n v="0"/>
    <n v="4999018.8499999996"/>
    <n v="374926.41"/>
    <n v="4624092.4400000004"/>
    <s v="Achive"/>
  </r>
  <r>
    <n v="800633"/>
    <x v="184"/>
    <x v="3"/>
    <x v="10"/>
    <s v="Pune"/>
    <x v="0"/>
    <s v="Statesman Cars"/>
    <s v="Tata Motors"/>
    <x v="0"/>
    <x v="3"/>
    <s v="Creative"/>
    <x v="0"/>
    <n v="1"/>
    <n v="1200000"/>
    <n v="1173966.33"/>
    <n v="0"/>
    <n v="0"/>
    <n v="1173966.33"/>
    <n v="0"/>
    <n v="1173966.33"/>
    <s v="Not achive"/>
  </r>
  <r>
    <n v="800076"/>
    <x v="185"/>
    <x v="0"/>
    <x v="7"/>
    <s v="Howrah"/>
    <x v="2"/>
    <s v="Sunrise Tata Showroom"/>
    <s v="Tata Motors"/>
    <x v="0"/>
    <x v="13"/>
    <s v="Pure"/>
    <x v="7"/>
    <n v="3"/>
    <n v="1900000"/>
    <n v="1937895.72"/>
    <n v="12.5"/>
    <n v="0"/>
    <n v="5813687.1600000001"/>
    <n v="726710.9"/>
    <n v="5086976.26"/>
    <s v="Achive"/>
  </r>
  <r>
    <n v="800266"/>
    <x v="185"/>
    <x v="0"/>
    <x v="1"/>
    <s v="Bhubaneswar"/>
    <x v="0"/>
    <s v="Landmark Motors"/>
    <s v="Tata Motors"/>
    <x v="3"/>
    <x v="8"/>
    <s v="Empowered"/>
    <x v="6"/>
    <n v="1"/>
    <n v="1500000"/>
    <n v="1481545.74"/>
    <n v="0"/>
    <n v="0"/>
    <n v="1481545.74"/>
    <n v="0"/>
    <n v="1481545.74"/>
    <s v="Not achive"/>
  </r>
  <r>
    <n v="800297"/>
    <x v="185"/>
    <x v="3"/>
    <x v="6"/>
    <s v="Surat"/>
    <x v="0"/>
    <s v="Om Sai Auto Hub"/>
    <s v="Tata Motors"/>
    <x v="3"/>
    <x v="8"/>
    <s v="Empowered"/>
    <x v="2"/>
    <n v="3"/>
    <n v="1500000"/>
    <n v="1457292.24"/>
    <n v="7.5"/>
    <n v="0"/>
    <n v="4371876.72"/>
    <n v="327890.75"/>
    <n v="4043985.97"/>
    <s v="Achive"/>
  </r>
  <r>
    <n v="800288"/>
    <x v="186"/>
    <x v="0"/>
    <x v="7"/>
    <s v="Kolkata"/>
    <x v="0"/>
    <s v="Sai Service Tata"/>
    <s v="Tata Motors"/>
    <x v="0"/>
    <x v="14"/>
    <s v="XZ+"/>
    <x v="7"/>
    <n v="3"/>
    <n v="650000"/>
    <n v="656514.64"/>
    <n v="0"/>
    <n v="0"/>
    <n v="1969543.92"/>
    <n v="0"/>
    <n v="1969543.92"/>
    <s v="Not achive"/>
  </r>
  <r>
    <n v="800456"/>
    <x v="187"/>
    <x v="3"/>
    <x v="6"/>
    <s v="Vadodara"/>
    <x v="4"/>
    <s v="Big Wheels Auto"/>
    <s v="Tata Motors"/>
    <x v="0"/>
    <x v="13"/>
    <s v="Accomplished+"/>
    <x v="4"/>
    <n v="3"/>
    <n v="1900000"/>
    <n v="1912659.92"/>
    <n v="0"/>
    <n v="0"/>
    <n v="5737979.7599999998"/>
    <n v="0"/>
    <n v="5737979.7599999998"/>
    <s v="Achive"/>
  </r>
  <r>
    <n v="800492"/>
    <x v="187"/>
    <x v="2"/>
    <x v="3"/>
    <s v="Noida"/>
    <x v="0"/>
    <s v="Sai Service Tata"/>
    <s v="Tata Motors"/>
    <x v="3"/>
    <x v="12"/>
    <s v="XZ+"/>
    <x v="7"/>
    <n v="1"/>
    <n v="1250000"/>
    <n v="1240899.6499999999"/>
    <n v="10"/>
    <n v="0"/>
    <n v="1240899.6499999999"/>
    <n v="124089.96"/>
    <n v="1116809.69"/>
    <s v="Not achive"/>
  </r>
  <r>
    <n v="800452"/>
    <x v="188"/>
    <x v="0"/>
    <x v="7"/>
    <s v="Kolkata"/>
    <x v="1"/>
    <s v="Sai Service Tata"/>
    <s v="Tata Motors"/>
    <x v="2"/>
    <x v="2"/>
    <s v="AC Cabin"/>
    <x v="9"/>
    <n v="4"/>
    <n v="800000"/>
    <n v="800460.19"/>
    <n v="0"/>
    <n v="0"/>
    <n v="3201840.76"/>
    <n v="0"/>
    <n v="3201840.76"/>
    <s v="Achive"/>
  </r>
  <r>
    <n v="800223"/>
    <x v="189"/>
    <x v="0"/>
    <x v="0"/>
    <s v="Gaya"/>
    <x v="0"/>
    <s v="Om Sai Auto Hub"/>
    <s v="Tata Motors"/>
    <x v="0"/>
    <x v="7"/>
    <s v="Pure"/>
    <x v="7"/>
    <n v="2"/>
    <n v="1700000"/>
    <n v="1700961.22"/>
    <n v="0"/>
    <n v="0"/>
    <n v="3401922.44"/>
    <n v="0"/>
    <n v="3401922.44"/>
    <s v="Achive"/>
  </r>
  <r>
    <n v="800384"/>
    <x v="189"/>
    <x v="1"/>
    <x v="13"/>
    <s v="Kochi"/>
    <x v="1"/>
    <s v="Sunrise Tata Showroom"/>
    <s v="Tata Motors"/>
    <x v="2"/>
    <x v="9"/>
    <s v="CX"/>
    <x v="1"/>
    <n v="4"/>
    <n v="1000000"/>
    <n v="998158.43"/>
    <n v="2"/>
    <n v="0"/>
    <n v="3992633.72"/>
    <n v="79852.67"/>
    <n v="3912781.05"/>
    <s v="Achive"/>
  </r>
  <r>
    <n v="800531"/>
    <x v="189"/>
    <x v="1"/>
    <x v="13"/>
    <s v="Kochi"/>
    <x v="4"/>
    <s v="Statesman Cars"/>
    <s v="Tata Motors"/>
    <x v="0"/>
    <x v="14"/>
    <s v="XZ+"/>
    <x v="7"/>
    <n v="1"/>
    <n v="650000"/>
    <n v="639619.64"/>
    <n v="0"/>
    <n v="0"/>
    <n v="639619.64"/>
    <n v="0"/>
    <n v="639619.64"/>
    <s v="Not achive"/>
  </r>
  <r>
    <n v="800429"/>
    <x v="190"/>
    <x v="2"/>
    <x v="4"/>
    <s v="Faridabad"/>
    <x v="3"/>
    <s v="Big Wheels Auto"/>
    <s v="Tata Motors"/>
    <x v="0"/>
    <x v="14"/>
    <s v="XZ+"/>
    <x v="5"/>
    <n v="3"/>
    <n v="650000"/>
    <n v="647116.31999999995"/>
    <n v="0"/>
    <n v="0"/>
    <n v="1941348.96"/>
    <n v="0"/>
    <n v="1941348.96"/>
    <s v="Not achive"/>
  </r>
  <r>
    <n v="800410"/>
    <x v="191"/>
    <x v="2"/>
    <x v="3"/>
    <s v="Lucknow"/>
    <x v="3"/>
    <s v="Landmark Motors"/>
    <s v="Tata Motors"/>
    <x v="0"/>
    <x v="3"/>
    <s v="Smart"/>
    <x v="9"/>
    <n v="2"/>
    <n v="1200000"/>
    <n v="1182694.6000000001"/>
    <n v="12.5"/>
    <n v="0"/>
    <n v="2365389.2000000002"/>
    <n v="295673.65000000002"/>
    <n v="2069715.55"/>
    <s v="Achive"/>
  </r>
  <r>
    <n v="800501"/>
    <x v="191"/>
    <x v="0"/>
    <x v="0"/>
    <s v="Gaya"/>
    <x v="3"/>
    <s v="Prerna Automobiles"/>
    <s v="Tata Motors"/>
    <x v="3"/>
    <x v="12"/>
    <s v="XZ+"/>
    <x v="0"/>
    <n v="3"/>
    <n v="1250000"/>
    <n v="1229024.72"/>
    <n v="0"/>
    <n v="0"/>
    <n v="3687074.16"/>
    <n v="0"/>
    <n v="3687074.16"/>
    <s v="Achive"/>
  </r>
  <r>
    <n v="800536"/>
    <x v="191"/>
    <x v="1"/>
    <x v="13"/>
    <s v="Kochi"/>
    <x v="2"/>
    <s v="Landmark Motors"/>
    <s v="Tata Motors"/>
    <x v="0"/>
    <x v="3"/>
    <s v="Accomplished"/>
    <x v="5"/>
    <n v="1"/>
    <n v="1200000"/>
    <n v="1206198.27"/>
    <n v="0"/>
    <n v="0"/>
    <n v="1206198.27"/>
    <n v="0"/>
    <n v="1206198.27"/>
    <s v="Not achive"/>
  </r>
  <r>
    <n v="800046"/>
    <x v="192"/>
    <x v="0"/>
    <x v="1"/>
    <s v="Cuttack"/>
    <x v="0"/>
    <s v="Prerna Automobiles"/>
    <s v="Tata Motors"/>
    <x v="3"/>
    <x v="5"/>
    <s v="Adventure"/>
    <x v="1"/>
    <n v="1"/>
    <n v="1200000"/>
    <n v="1187331.43"/>
    <n v="10"/>
    <n v="0"/>
    <n v="1187331.43"/>
    <n v="118733.14"/>
    <n v="1068598.29"/>
    <s v="Not achive"/>
  </r>
  <r>
    <n v="800172"/>
    <x v="192"/>
    <x v="1"/>
    <x v="2"/>
    <s v="Coimbatore"/>
    <x v="4"/>
    <s v="Capital Cars"/>
    <s v="Tata Motors"/>
    <x v="0"/>
    <x v="7"/>
    <s v="Fearless+"/>
    <x v="3"/>
    <n v="2"/>
    <n v="1700000"/>
    <n v="1724587.1"/>
    <n v="0"/>
    <n v="0"/>
    <n v="3449174.2"/>
    <n v="0"/>
    <n v="3449174.2"/>
    <s v="Achive"/>
  </r>
  <r>
    <n v="800507"/>
    <x v="192"/>
    <x v="2"/>
    <x v="11"/>
    <s v="New Delhi"/>
    <x v="1"/>
    <s v="Statesman Cars"/>
    <s v="Tata Motors"/>
    <x v="3"/>
    <x v="8"/>
    <s v="Empowered"/>
    <x v="7"/>
    <n v="1"/>
    <n v="1500000"/>
    <n v="1522200.12"/>
    <n v="0"/>
    <n v="0"/>
    <n v="1522200.12"/>
    <n v="0"/>
    <n v="1522200.12"/>
    <s v="Not achive"/>
  </r>
  <r>
    <n v="800613"/>
    <x v="192"/>
    <x v="0"/>
    <x v="7"/>
    <s v="Howrah"/>
    <x v="4"/>
    <s v="Statesman Cars"/>
    <s v="Tata Motors"/>
    <x v="2"/>
    <x v="9"/>
    <s v="Base"/>
    <x v="7"/>
    <n v="2"/>
    <n v="1000000"/>
    <n v="983014.58"/>
    <n v="12.5"/>
    <n v="0"/>
    <n v="1966029.16"/>
    <n v="245753.64"/>
    <n v="1720275.52"/>
    <s v="Not achive"/>
  </r>
  <r>
    <n v="800616"/>
    <x v="192"/>
    <x v="3"/>
    <x v="9"/>
    <s v="Jodhpur"/>
    <x v="2"/>
    <s v="Prerna Automobiles"/>
    <s v="Tata Motors"/>
    <x v="0"/>
    <x v="4"/>
    <s v="XE"/>
    <x v="8"/>
    <n v="1"/>
    <n v="800000"/>
    <n v="777434.49"/>
    <n v="5"/>
    <n v="0"/>
    <n v="777434.49"/>
    <n v="38871.72"/>
    <n v="738562.77"/>
    <s v="Not achive"/>
  </r>
  <r>
    <n v="800125"/>
    <x v="193"/>
    <x v="0"/>
    <x v="7"/>
    <s v="Kolkata"/>
    <x v="0"/>
    <s v="National Tata Dealership"/>
    <s v="Tata Motors"/>
    <x v="3"/>
    <x v="5"/>
    <s v="Empowered"/>
    <x v="1"/>
    <n v="1"/>
    <n v="1200000"/>
    <n v="1196040.67"/>
    <n v="5"/>
    <n v="0"/>
    <n v="1196040.67"/>
    <n v="59802.03"/>
    <n v="1136238.6399999999"/>
    <s v="Not achive"/>
  </r>
  <r>
    <n v="800193"/>
    <x v="193"/>
    <x v="1"/>
    <x v="13"/>
    <s v="Thiruvananthapuram"/>
    <x v="0"/>
    <s v="Om Sai Auto Hub"/>
    <s v="Tata Motors"/>
    <x v="0"/>
    <x v="7"/>
    <s v="Pure"/>
    <x v="5"/>
    <n v="2"/>
    <n v="1700000"/>
    <n v="1679569.79"/>
    <n v="12.5"/>
    <n v="0"/>
    <n v="3359139.58"/>
    <n v="419892.45"/>
    <n v="2939247.13"/>
    <s v="Achive"/>
  </r>
  <r>
    <n v="800405"/>
    <x v="193"/>
    <x v="0"/>
    <x v="7"/>
    <s v="Howrah"/>
    <x v="0"/>
    <s v="Sunrise Tata Showroom"/>
    <s v="Tata Motors"/>
    <x v="0"/>
    <x v="4"/>
    <s v="XM"/>
    <x v="0"/>
    <n v="1"/>
    <n v="800000"/>
    <n v="796932.65"/>
    <n v="0"/>
    <n v="0"/>
    <n v="796932.65"/>
    <n v="0"/>
    <n v="796932.65"/>
    <s v="Not achive"/>
  </r>
  <r>
    <n v="800269"/>
    <x v="194"/>
    <x v="1"/>
    <x v="13"/>
    <s v="Thiruvananthapuram"/>
    <x v="4"/>
    <s v="Statesman Cars"/>
    <s v="Tata Motors"/>
    <x v="0"/>
    <x v="14"/>
    <s v="XT"/>
    <x v="7"/>
    <n v="1"/>
    <n v="650000"/>
    <n v="631452.36"/>
    <n v="5"/>
    <n v="0"/>
    <n v="631452.36"/>
    <n v="31572.62"/>
    <n v="599879.74"/>
    <s v="Not achive"/>
  </r>
  <r>
    <n v="800049"/>
    <x v="195"/>
    <x v="2"/>
    <x v="4"/>
    <s v="Faridabad"/>
    <x v="2"/>
    <s v="Reliance Trishakti"/>
    <s v="Tata Motors"/>
    <x v="0"/>
    <x v="14"/>
    <s v="XE"/>
    <x v="8"/>
    <n v="1"/>
    <n v="650000"/>
    <n v="657774.93999999994"/>
    <n v="0"/>
    <n v="0"/>
    <n v="657774.93999999994"/>
    <n v="0"/>
    <n v="657774.93999999994"/>
    <s v="Not achive"/>
  </r>
  <r>
    <n v="800169"/>
    <x v="196"/>
    <x v="2"/>
    <x v="12"/>
    <s v="Ludhiana"/>
    <x v="0"/>
    <s v="Concorde Tata"/>
    <s v="Tata Motors"/>
    <x v="0"/>
    <x v="7"/>
    <s v="Smart"/>
    <x v="0"/>
    <n v="3"/>
    <n v="1700000"/>
    <n v="1732122.41"/>
    <n v="0"/>
    <n v="0"/>
    <n v="5196367.2300000004"/>
    <n v="0"/>
    <n v="5196367.2300000004"/>
    <s v="Achive"/>
  </r>
  <r>
    <n v="800598"/>
    <x v="196"/>
    <x v="0"/>
    <x v="7"/>
    <s v="Howrah"/>
    <x v="1"/>
    <s v="Landmark Motors"/>
    <s v="Tata Motors"/>
    <x v="0"/>
    <x v="3"/>
    <s v="Accomplished"/>
    <x v="9"/>
    <n v="3"/>
    <n v="1200000"/>
    <n v="1220922.6499999999"/>
    <n v="7.5"/>
    <n v="0"/>
    <n v="3662767.95"/>
    <n v="274707.59999999998"/>
    <n v="3388060.35"/>
    <s v="Achive"/>
  </r>
  <r>
    <n v="800174"/>
    <x v="197"/>
    <x v="3"/>
    <x v="10"/>
    <s v="Nashik"/>
    <x v="0"/>
    <s v="Metro Tata Motors"/>
    <s v="Tata Motors"/>
    <x v="3"/>
    <x v="11"/>
    <s v="Accomplished"/>
    <x v="2"/>
    <n v="2"/>
    <n v="1800000"/>
    <n v="1806233.03"/>
    <n v="0"/>
    <n v="0"/>
    <n v="3612466.06"/>
    <n v="0"/>
    <n v="3612466.06"/>
    <s v="Achive"/>
  </r>
  <r>
    <n v="800099"/>
    <x v="198"/>
    <x v="2"/>
    <x v="12"/>
    <s v="Jalandhar"/>
    <x v="3"/>
    <s v="National Tata Dealership"/>
    <s v="Tata Motors"/>
    <x v="0"/>
    <x v="14"/>
    <s v="XZ+"/>
    <x v="3"/>
    <n v="2"/>
    <n v="650000"/>
    <n v="645386.38"/>
    <n v="0"/>
    <n v="0"/>
    <n v="1290772.76"/>
    <n v="0"/>
    <n v="1290772.76"/>
    <s v="Not achive"/>
  </r>
  <r>
    <n v="800362"/>
    <x v="199"/>
    <x v="3"/>
    <x v="9"/>
    <s v="Jaipur"/>
    <x v="0"/>
    <s v="Statesman Cars"/>
    <s v="Tata Motors"/>
    <x v="0"/>
    <x v="4"/>
    <s v="XZ+"/>
    <x v="7"/>
    <n v="3"/>
    <n v="800000"/>
    <n v="810887.81"/>
    <n v="0"/>
    <n v="0"/>
    <n v="2432663.4300000002"/>
    <n v="0"/>
    <n v="2432663.4300000002"/>
    <s v="Achive"/>
  </r>
  <r>
    <n v="800268"/>
    <x v="200"/>
    <x v="0"/>
    <x v="0"/>
    <s v="Gaya"/>
    <x v="3"/>
    <s v="Reliance Trishakti"/>
    <s v="Tata Motors"/>
    <x v="2"/>
    <x v="9"/>
    <s v="Base"/>
    <x v="3"/>
    <n v="1"/>
    <n v="1000000"/>
    <n v="1019470.18"/>
    <n v="7.5"/>
    <n v="0"/>
    <n v="1019470.18"/>
    <n v="76460.259999999995"/>
    <n v="943009.92"/>
    <s v="Not achive"/>
  </r>
  <r>
    <n v="800442"/>
    <x v="200"/>
    <x v="1"/>
    <x v="13"/>
    <s v="Kochi"/>
    <x v="2"/>
    <s v="Sunrise Tata Showroom"/>
    <s v="Tata Motors"/>
    <x v="2"/>
    <x v="2"/>
    <s v="AC Cabin"/>
    <x v="8"/>
    <n v="4"/>
    <n v="800000"/>
    <n v="796341.61"/>
    <n v="0"/>
    <n v="0"/>
    <n v="3185366.44"/>
    <n v="0"/>
    <n v="3185366.44"/>
    <s v="Achive"/>
  </r>
  <r>
    <n v="800308"/>
    <x v="201"/>
    <x v="2"/>
    <x v="3"/>
    <s v="Kanpur"/>
    <x v="3"/>
    <s v="Big Wheels Auto"/>
    <s v="Tata Motors"/>
    <x v="3"/>
    <x v="8"/>
    <s v="Empowered"/>
    <x v="1"/>
    <n v="1"/>
    <n v="1500000"/>
    <n v="1478728.76"/>
    <n v="0"/>
    <n v="0"/>
    <n v="1478728.76"/>
    <n v="0"/>
    <n v="1478728.76"/>
    <s v="Not achive"/>
  </r>
  <r>
    <n v="800052"/>
    <x v="202"/>
    <x v="2"/>
    <x v="11"/>
    <s v="Dwarka"/>
    <x v="1"/>
    <s v="Metro Tata Motors"/>
    <s v="Tata Motors"/>
    <x v="0"/>
    <x v="7"/>
    <s v="Pure"/>
    <x v="2"/>
    <n v="3"/>
    <n v="1700000"/>
    <n v="1704041.18"/>
    <n v="0"/>
    <n v="0"/>
    <n v="5112123.54"/>
    <n v="0"/>
    <n v="5112123.54"/>
    <s v="Achive"/>
  </r>
  <r>
    <n v="800179"/>
    <x v="202"/>
    <x v="2"/>
    <x v="11"/>
    <s v="New Delhi"/>
    <x v="1"/>
    <s v="Om Sai Auto Hub"/>
    <s v="Tata Motors"/>
    <x v="0"/>
    <x v="4"/>
    <s v="XE"/>
    <x v="9"/>
    <n v="3"/>
    <n v="800000"/>
    <n v="793673.62"/>
    <n v="2"/>
    <n v="0"/>
    <n v="2381020.86"/>
    <n v="47620.42"/>
    <n v="2333400.44"/>
    <s v="Achive"/>
  </r>
  <r>
    <n v="800195"/>
    <x v="202"/>
    <x v="0"/>
    <x v="7"/>
    <s v="Kolkata"/>
    <x v="3"/>
    <s v="Big Wheels Auto"/>
    <s v="Tata Motors"/>
    <x v="0"/>
    <x v="6"/>
    <s v="Adventure"/>
    <x v="7"/>
    <n v="1"/>
    <n v="700000"/>
    <n v="696475.55"/>
    <n v="7.5"/>
    <n v="0"/>
    <n v="696475.55"/>
    <n v="52235.67"/>
    <n v="644239.88"/>
    <s v="Not achive"/>
  </r>
  <r>
    <n v="800225"/>
    <x v="202"/>
    <x v="3"/>
    <x v="9"/>
    <s v="Jodhpur"/>
    <x v="0"/>
    <s v="National Tata Dealership"/>
    <s v="Tata Motors"/>
    <x v="0"/>
    <x v="4"/>
    <s v="XZ+"/>
    <x v="6"/>
    <n v="2"/>
    <n v="800000"/>
    <n v="783430.15"/>
    <n v="0"/>
    <n v="0"/>
    <n v="1566860.3"/>
    <n v="0"/>
    <n v="1566860.3"/>
    <s v="Not achive"/>
  </r>
  <r>
    <n v="800577"/>
    <x v="202"/>
    <x v="0"/>
    <x v="7"/>
    <s v="Howrah"/>
    <x v="1"/>
    <s v="Metro Tata Motors"/>
    <s v="Tata Motors"/>
    <x v="0"/>
    <x v="3"/>
    <s v="Accomplished"/>
    <x v="5"/>
    <n v="1"/>
    <n v="1200000"/>
    <n v="1210079.97"/>
    <n v="0"/>
    <n v="0"/>
    <n v="1210079.97"/>
    <n v="0"/>
    <n v="1210079.97"/>
    <s v="Not achive"/>
  </r>
  <r>
    <n v="800056"/>
    <x v="203"/>
    <x v="1"/>
    <x v="2"/>
    <s v="Chennai"/>
    <x v="2"/>
    <s v="Prerna Automobiles"/>
    <s v="Tata Motors"/>
    <x v="0"/>
    <x v="13"/>
    <s v="Pure"/>
    <x v="1"/>
    <n v="3"/>
    <n v="1900000"/>
    <n v="1915025.64"/>
    <n v="12.5"/>
    <n v="0"/>
    <n v="5745076.9199999999"/>
    <n v="718134.61"/>
    <n v="5026942.3099999996"/>
    <s v="Achive"/>
  </r>
  <r>
    <n v="800069"/>
    <x v="203"/>
    <x v="1"/>
    <x v="2"/>
    <s v="Chennai"/>
    <x v="0"/>
    <s v="Om Sai Auto Hub"/>
    <s v="Tata Motors"/>
    <x v="0"/>
    <x v="7"/>
    <s v="Pure"/>
    <x v="5"/>
    <n v="1"/>
    <n v="1700000"/>
    <n v="1733740.37"/>
    <n v="10"/>
    <n v="0"/>
    <n v="1733740.37"/>
    <n v="173374.04"/>
    <n v="1560366.33"/>
    <s v="Not achive"/>
  </r>
  <r>
    <n v="800326"/>
    <x v="203"/>
    <x v="0"/>
    <x v="0"/>
    <s v="Patna"/>
    <x v="2"/>
    <s v="Reliance Trishakti"/>
    <s v="Tata Motors"/>
    <x v="2"/>
    <x v="9"/>
    <s v="Base"/>
    <x v="3"/>
    <n v="4"/>
    <n v="1000000"/>
    <n v="1012593.56"/>
    <n v="0"/>
    <n v="0"/>
    <n v="4050374.24"/>
    <n v="0"/>
    <n v="4050374.24"/>
    <s v="Achive"/>
  </r>
  <r>
    <n v="800556"/>
    <x v="203"/>
    <x v="1"/>
    <x v="5"/>
    <s v="Hyderabad"/>
    <x v="1"/>
    <s v="Capital Cars"/>
    <s v="Tata Motors"/>
    <x v="0"/>
    <x v="13"/>
    <s v="Accomplished+"/>
    <x v="4"/>
    <n v="1"/>
    <n v="1900000"/>
    <n v="1860670.61"/>
    <n v="10"/>
    <n v="0"/>
    <n v="1860670.61"/>
    <n v="186067.06"/>
    <n v="1674603.55"/>
    <s v="Not achive"/>
  </r>
  <r>
    <n v="800615"/>
    <x v="203"/>
    <x v="1"/>
    <x v="5"/>
    <s v="Warangal"/>
    <x v="4"/>
    <s v="National Tata Dealership"/>
    <s v="Tata Motors"/>
    <x v="2"/>
    <x v="2"/>
    <s v="AC Cabin"/>
    <x v="3"/>
    <n v="3"/>
    <n v="800000"/>
    <n v="793431.01"/>
    <n v="0"/>
    <n v="0"/>
    <n v="2380293.0299999998"/>
    <n v="0"/>
    <n v="2380293.0299999998"/>
    <s v="Achive"/>
  </r>
  <r>
    <n v="800210"/>
    <x v="204"/>
    <x v="2"/>
    <x v="3"/>
    <s v="Noida"/>
    <x v="4"/>
    <s v="Metro Tata Motors"/>
    <s v="Tata Motors"/>
    <x v="3"/>
    <x v="5"/>
    <s v="Adventure"/>
    <x v="2"/>
    <n v="2"/>
    <n v="1200000"/>
    <n v="1179101.98"/>
    <n v="2"/>
    <n v="0"/>
    <n v="2358203.96"/>
    <n v="47164.08"/>
    <n v="2311039.88"/>
    <s v="Achive"/>
  </r>
  <r>
    <n v="800579"/>
    <x v="205"/>
    <x v="1"/>
    <x v="8"/>
    <s v="Mysuru"/>
    <x v="1"/>
    <s v="National Tata Dealership"/>
    <s v="Tata Motors"/>
    <x v="0"/>
    <x v="0"/>
    <s v="XE"/>
    <x v="3"/>
    <n v="2"/>
    <n v="750000"/>
    <n v="757227.43"/>
    <n v="2"/>
    <n v="0"/>
    <n v="1514454.86"/>
    <n v="30289.1"/>
    <n v="1484165.76"/>
    <s v="Not achive"/>
  </r>
  <r>
    <n v="800415"/>
    <x v="206"/>
    <x v="2"/>
    <x v="12"/>
    <s v="Amritsar"/>
    <x v="2"/>
    <s v="Landmark Motors"/>
    <s v="Tata Motors"/>
    <x v="3"/>
    <x v="12"/>
    <s v="XZ+"/>
    <x v="7"/>
    <n v="1"/>
    <n v="1250000"/>
    <n v="1235712.42"/>
    <n v="0"/>
    <n v="0"/>
    <n v="1235712.42"/>
    <n v="0"/>
    <n v="1235712.42"/>
    <s v="Not achive"/>
  </r>
  <r>
    <n v="800118"/>
    <x v="207"/>
    <x v="2"/>
    <x v="12"/>
    <s v="Ludhiana"/>
    <x v="1"/>
    <s v="Om Sai Auto Hub"/>
    <s v="Tata Motors"/>
    <x v="1"/>
    <x v="1"/>
    <s v="Base"/>
    <x v="1"/>
    <n v="5"/>
    <n v="550000"/>
    <n v="551425.53"/>
    <n v="7.5"/>
    <n v="0"/>
    <n v="2757127.65"/>
    <n v="206784.57"/>
    <n v="2550343.08"/>
    <s v="Achive"/>
  </r>
  <r>
    <n v="800383"/>
    <x v="208"/>
    <x v="3"/>
    <x v="9"/>
    <s v="Jaipur"/>
    <x v="0"/>
    <s v="Metro Tata Motors"/>
    <s v="Tata Motors"/>
    <x v="3"/>
    <x v="12"/>
    <s v="XE"/>
    <x v="5"/>
    <n v="1"/>
    <n v="1250000"/>
    <n v="1237945.9099999999"/>
    <n v="0"/>
    <n v="0"/>
    <n v="1237945.9099999999"/>
    <n v="0"/>
    <n v="1237945.9099999999"/>
    <s v="Not achive"/>
  </r>
  <r>
    <n v="800612"/>
    <x v="209"/>
    <x v="1"/>
    <x v="2"/>
    <s v="Chennai"/>
    <x v="1"/>
    <s v="Landmark Motors"/>
    <s v="Tata Motors"/>
    <x v="0"/>
    <x v="14"/>
    <s v="XT"/>
    <x v="8"/>
    <n v="2"/>
    <n v="650000"/>
    <n v="660017.36"/>
    <n v="0"/>
    <n v="1"/>
    <n v="1320034.72"/>
    <n v="0"/>
    <n v="1320034.72"/>
    <s v="Not achive"/>
  </r>
  <r>
    <n v="800160"/>
    <x v="210"/>
    <x v="0"/>
    <x v="0"/>
    <s v="Patna"/>
    <x v="4"/>
    <s v="National Tata Dealership"/>
    <s v="Tata Motors"/>
    <x v="0"/>
    <x v="10"/>
    <s v="Smart"/>
    <x v="6"/>
    <n v="3"/>
    <n v="950000"/>
    <n v="956617.67"/>
    <n v="5"/>
    <n v="0"/>
    <n v="2869853.01"/>
    <n v="143492.65"/>
    <n v="2726360.36"/>
    <s v="Achive"/>
  </r>
  <r>
    <n v="800022"/>
    <x v="211"/>
    <x v="3"/>
    <x v="10"/>
    <s v="Nashik"/>
    <x v="1"/>
    <s v="Landmark Motors"/>
    <s v="Tata Motors"/>
    <x v="0"/>
    <x v="13"/>
    <s v="Pure"/>
    <x v="0"/>
    <n v="1"/>
    <n v="1900000"/>
    <n v="1898496.87"/>
    <n v="0"/>
    <n v="0"/>
    <n v="1898496.87"/>
    <n v="0"/>
    <n v="1898496.87"/>
    <s v="Not achive"/>
  </r>
  <r>
    <n v="800144"/>
    <x v="211"/>
    <x v="2"/>
    <x v="4"/>
    <s v="Hisar"/>
    <x v="2"/>
    <s v="Om Sai Auto Hub"/>
    <s v="Tata Motors"/>
    <x v="3"/>
    <x v="11"/>
    <s v="Accomplished"/>
    <x v="5"/>
    <n v="1"/>
    <n v="1800000"/>
    <n v="1810062.82"/>
    <n v="0"/>
    <n v="0"/>
    <n v="1810062.82"/>
    <n v="0"/>
    <n v="1810062.82"/>
    <s v="Not achive"/>
  </r>
  <r>
    <n v="800247"/>
    <x v="212"/>
    <x v="1"/>
    <x v="5"/>
    <s v="Warangal"/>
    <x v="0"/>
    <s v="Concorde Tata"/>
    <s v="Tata Motors"/>
    <x v="0"/>
    <x v="7"/>
    <s v="Fearless+"/>
    <x v="3"/>
    <n v="3"/>
    <n v="1700000"/>
    <n v="1661977.84"/>
    <n v="0"/>
    <n v="0"/>
    <n v="4985933.5199999996"/>
    <n v="0"/>
    <n v="4985933.5199999996"/>
    <s v="Achive"/>
  </r>
  <r>
    <n v="800370"/>
    <x v="212"/>
    <x v="0"/>
    <x v="1"/>
    <s v="Bhubaneswar"/>
    <x v="0"/>
    <s v="Statesman Cars"/>
    <s v="Tata Motors"/>
    <x v="0"/>
    <x v="6"/>
    <s v="Adventure"/>
    <x v="7"/>
    <n v="1"/>
    <n v="700000"/>
    <n v="706811.56"/>
    <n v="0"/>
    <n v="0"/>
    <n v="706811.56"/>
    <n v="0"/>
    <n v="706811.56"/>
    <s v="Not achive"/>
  </r>
  <r>
    <n v="800389"/>
    <x v="212"/>
    <x v="0"/>
    <x v="1"/>
    <s v="Cuttack"/>
    <x v="1"/>
    <s v="Landmark Motors"/>
    <s v="Tata Motors"/>
    <x v="2"/>
    <x v="2"/>
    <s v="AC Cabin"/>
    <x v="9"/>
    <n v="5"/>
    <n v="800000"/>
    <n v="788616.68"/>
    <n v="5"/>
    <n v="0"/>
    <n v="3943083.4"/>
    <n v="197154.17"/>
    <n v="3745929.23"/>
    <s v="Achive"/>
  </r>
  <r>
    <n v="800098"/>
    <x v="213"/>
    <x v="3"/>
    <x v="6"/>
    <s v="Vadodara"/>
    <x v="3"/>
    <s v="Sai Service Tata"/>
    <s v="Tata Motors"/>
    <x v="3"/>
    <x v="8"/>
    <s v="Empowered"/>
    <x v="2"/>
    <n v="3"/>
    <n v="1500000"/>
    <n v="1459766.85"/>
    <n v="12.5"/>
    <n v="0"/>
    <n v="4379300.55"/>
    <n v="547412.56999999995"/>
    <n v="3831887.98"/>
    <s v="Achive"/>
  </r>
  <r>
    <n v="800127"/>
    <x v="213"/>
    <x v="3"/>
    <x v="6"/>
    <s v="Vadodara"/>
    <x v="0"/>
    <s v="Big Wheels Auto"/>
    <s v="Tata Motors"/>
    <x v="3"/>
    <x v="11"/>
    <s v="Creative"/>
    <x v="3"/>
    <n v="1"/>
    <n v="1800000"/>
    <n v="1771655.67"/>
    <n v="0"/>
    <n v="0"/>
    <n v="1771655.67"/>
    <n v="0"/>
    <n v="1771655.67"/>
    <s v="Not achive"/>
  </r>
  <r>
    <n v="800254"/>
    <x v="214"/>
    <x v="0"/>
    <x v="1"/>
    <s v="Bhubaneswar"/>
    <x v="4"/>
    <s v="Concorde Tata"/>
    <s v="Tata Motors"/>
    <x v="3"/>
    <x v="12"/>
    <s v="XZ+"/>
    <x v="2"/>
    <n v="3"/>
    <n v="1250000"/>
    <n v="1254582.8600000001"/>
    <n v="0"/>
    <n v="0"/>
    <n v="3763748.58"/>
    <n v="0"/>
    <n v="3763748.58"/>
    <s v="Achive"/>
  </r>
  <r>
    <n v="800604"/>
    <x v="214"/>
    <x v="2"/>
    <x v="3"/>
    <s v="Noida"/>
    <x v="3"/>
    <s v="Landmark Motors"/>
    <s v="Tata Motors"/>
    <x v="3"/>
    <x v="8"/>
    <s v="Creative"/>
    <x v="5"/>
    <n v="2"/>
    <n v="1500000"/>
    <n v="1498185.7"/>
    <n v="0"/>
    <n v="0"/>
    <n v="2996371.4"/>
    <n v="0"/>
    <n v="2996371.4"/>
    <s v="Achive"/>
  </r>
  <r>
    <n v="800645"/>
    <x v="214"/>
    <x v="0"/>
    <x v="7"/>
    <s v="Kolkata"/>
    <x v="3"/>
    <s v="Om Sai Auto Hub"/>
    <s v="Tata Motors"/>
    <x v="3"/>
    <x v="8"/>
    <s v="Creative"/>
    <x v="4"/>
    <n v="2"/>
    <n v="1500000"/>
    <n v="1486005.71"/>
    <n v="10"/>
    <n v="0"/>
    <n v="2972011.42"/>
    <n v="297201.14"/>
    <n v="2674810.2799999998"/>
    <s v="Achive"/>
  </r>
  <r>
    <n v="800148"/>
    <x v="215"/>
    <x v="0"/>
    <x v="1"/>
    <s v="Cuttack"/>
    <x v="2"/>
    <s v="Om Sai Auto Hub"/>
    <s v="Tata Motors"/>
    <x v="0"/>
    <x v="4"/>
    <s v="XM"/>
    <x v="4"/>
    <n v="1"/>
    <n v="800000"/>
    <n v="788906.43"/>
    <n v="2"/>
    <n v="0"/>
    <n v="788906.43"/>
    <n v="15778.13"/>
    <n v="773128.3"/>
    <s v="Not achive"/>
  </r>
  <r>
    <n v="800159"/>
    <x v="215"/>
    <x v="1"/>
    <x v="8"/>
    <s v="Hubli"/>
    <x v="1"/>
    <s v="Om Sai Auto Hub"/>
    <s v="Tata Motors"/>
    <x v="3"/>
    <x v="8"/>
    <s v="Empowered"/>
    <x v="0"/>
    <n v="1"/>
    <n v="1500000"/>
    <n v="1457918.55"/>
    <n v="7.5"/>
    <n v="0"/>
    <n v="1457918.55"/>
    <n v="109343.89"/>
    <n v="1348574.66"/>
    <s v="Not achive"/>
  </r>
  <r>
    <n v="800042"/>
    <x v="216"/>
    <x v="0"/>
    <x v="1"/>
    <s v="Bhubaneswar"/>
    <x v="3"/>
    <s v="Sai Service Tata"/>
    <s v="Tata Motors"/>
    <x v="2"/>
    <x v="2"/>
    <s v="AC Cabin"/>
    <x v="1"/>
    <n v="3"/>
    <n v="800000"/>
    <n v="806071.07"/>
    <n v="5"/>
    <n v="0"/>
    <n v="2418213.21"/>
    <n v="120910.66"/>
    <n v="2297302.5499999998"/>
    <s v="Achive"/>
  </r>
  <r>
    <n v="800371"/>
    <x v="217"/>
    <x v="1"/>
    <x v="8"/>
    <s v="Bengaluru"/>
    <x v="4"/>
    <s v="Capital Cars"/>
    <s v="Tata Motors"/>
    <x v="3"/>
    <x v="12"/>
    <s v="XE"/>
    <x v="8"/>
    <n v="2"/>
    <n v="1250000"/>
    <n v="1236591.3700000001"/>
    <n v="0"/>
    <n v="1"/>
    <n v="2473182.7400000002"/>
    <n v="0"/>
    <n v="2473182.7400000002"/>
    <s v="Achive"/>
  </r>
  <r>
    <n v="800532"/>
    <x v="217"/>
    <x v="0"/>
    <x v="0"/>
    <s v="Gaya"/>
    <x v="3"/>
    <s v="Sunrise Tata Showroom"/>
    <s v="Tata Motors"/>
    <x v="3"/>
    <x v="12"/>
    <s v="XE"/>
    <x v="7"/>
    <n v="1"/>
    <n v="1250000"/>
    <n v="1248632.5900000001"/>
    <n v="2"/>
    <n v="0"/>
    <n v="1248632.5900000001"/>
    <n v="24972.65"/>
    <n v="1223659.94"/>
    <s v="Not achive"/>
  </r>
  <r>
    <n v="800626"/>
    <x v="217"/>
    <x v="2"/>
    <x v="4"/>
    <s v="Panipat"/>
    <x v="0"/>
    <s v="Concorde Tata"/>
    <s v="Tata Motors"/>
    <x v="2"/>
    <x v="9"/>
    <s v="CX"/>
    <x v="5"/>
    <n v="2"/>
    <n v="1000000"/>
    <n v="1019209.31"/>
    <n v="5"/>
    <n v="0"/>
    <n v="2038418.62"/>
    <n v="101920.93"/>
    <n v="1936497.69"/>
    <s v="Not achive"/>
  </r>
  <r>
    <n v="800401"/>
    <x v="218"/>
    <x v="1"/>
    <x v="2"/>
    <s v="Chennai"/>
    <x v="3"/>
    <s v="Metro Tata Motors"/>
    <s v="Tata Motors"/>
    <x v="0"/>
    <x v="0"/>
    <s v="XE"/>
    <x v="2"/>
    <n v="2"/>
    <n v="750000"/>
    <n v="748066.27"/>
    <n v="0"/>
    <n v="0"/>
    <n v="1496132.54"/>
    <n v="0"/>
    <n v="1496132.54"/>
    <s v="Not achive"/>
  </r>
  <r>
    <n v="800494"/>
    <x v="219"/>
    <x v="0"/>
    <x v="1"/>
    <s v="Bhubaneswar"/>
    <x v="2"/>
    <s v="Landmark Motors"/>
    <s v="Tata Motors"/>
    <x v="3"/>
    <x v="12"/>
    <s v="XZ+"/>
    <x v="9"/>
    <n v="1"/>
    <n v="1250000"/>
    <n v="1248766.8"/>
    <n v="0"/>
    <n v="0"/>
    <n v="1248766.8"/>
    <n v="0"/>
    <n v="1248766.8"/>
    <s v="Not achive"/>
  </r>
  <r>
    <n v="800625"/>
    <x v="219"/>
    <x v="3"/>
    <x v="6"/>
    <s v="Ahmedabad"/>
    <x v="0"/>
    <s v="Concorde Tata"/>
    <s v="Tata Motors"/>
    <x v="0"/>
    <x v="14"/>
    <s v="XZ+"/>
    <x v="9"/>
    <n v="2"/>
    <n v="650000"/>
    <n v="652484.30000000005"/>
    <n v="0"/>
    <n v="0"/>
    <n v="1304968.6000000001"/>
    <n v="0"/>
    <n v="1304968.6000000001"/>
    <s v="Not achive"/>
  </r>
  <r>
    <n v="800057"/>
    <x v="220"/>
    <x v="0"/>
    <x v="0"/>
    <s v="Patna"/>
    <x v="4"/>
    <s v="Prerna Automobiles"/>
    <s v="Tata Motors"/>
    <x v="3"/>
    <x v="8"/>
    <s v="Empowered"/>
    <x v="8"/>
    <n v="2"/>
    <n v="1500000"/>
    <n v="1504797"/>
    <n v="7.5"/>
    <n v="0"/>
    <n v="3009594"/>
    <n v="225719.55"/>
    <n v="2783874.45"/>
    <s v="Achive"/>
  </r>
  <r>
    <n v="800082"/>
    <x v="220"/>
    <x v="2"/>
    <x v="12"/>
    <s v="Amritsar"/>
    <x v="4"/>
    <s v="Landmark Motors"/>
    <s v="Tata Motors"/>
    <x v="0"/>
    <x v="14"/>
    <s v="XT"/>
    <x v="0"/>
    <n v="2"/>
    <n v="650000"/>
    <n v="642150.06000000006"/>
    <n v="10"/>
    <n v="0"/>
    <n v="1284300.1200000001"/>
    <n v="128430.01"/>
    <n v="1155870.1100000001"/>
    <s v="Not achive"/>
  </r>
  <r>
    <n v="800502"/>
    <x v="220"/>
    <x v="0"/>
    <x v="7"/>
    <s v="Howrah"/>
    <x v="0"/>
    <s v="Sai Service Tata"/>
    <s v="Tata Motors"/>
    <x v="1"/>
    <x v="1"/>
    <s v="Base"/>
    <x v="6"/>
    <n v="6"/>
    <n v="550000"/>
    <n v="552904.21"/>
    <n v="12.5"/>
    <n v="0"/>
    <n v="3317425.26"/>
    <n v="414678.16"/>
    <n v="2902747.1"/>
    <s v="Achive"/>
  </r>
  <r>
    <n v="800013"/>
    <x v="221"/>
    <x v="1"/>
    <x v="13"/>
    <s v="Kochi"/>
    <x v="2"/>
    <s v="Prerna Automobiles"/>
    <s v="Tata Motors"/>
    <x v="2"/>
    <x v="9"/>
    <s v="Base"/>
    <x v="2"/>
    <n v="6"/>
    <n v="1000000"/>
    <n v="994299.52"/>
    <n v="0"/>
    <n v="0"/>
    <n v="5965797.1200000001"/>
    <n v="0"/>
    <n v="5965797.1200000001"/>
    <s v="Achive"/>
  </r>
  <r>
    <n v="800164"/>
    <x v="221"/>
    <x v="3"/>
    <x v="9"/>
    <s v="Jaipur"/>
    <x v="1"/>
    <s v="Big Wheels Auto"/>
    <s v="Tata Motors"/>
    <x v="0"/>
    <x v="7"/>
    <s v="Pure"/>
    <x v="3"/>
    <n v="2"/>
    <n v="1700000"/>
    <n v="1675668.97"/>
    <n v="0"/>
    <n v="0"/>
    <n v="3351337.94"/>
    <n v="0"/>
    <n v="3351337.94"/>
    <s v="Achive"/>
  </r>
  <r>
    <n v="800541"/>
    <x v="221"/>
    <x v="0"/>
    <x v="7"/>
    <s v="Kolkata"/>
    <x v="2"/>
    <s v="Big Wheels Auto"/>
    <s v="Tata Motors"/>
    <x v="0"/>
    <x v="10"/>
    <s v="Creative"/>
    <x v="1"/>
    <n v="3"/>
    <n v="950000"/>
    <n v="946517.42"/>
    <n v="0"/>
    <n v="0"/>
    <n v="2839552.26"/>
    <n v="0"/>
    <n v="2839552.26"/>
    <s v="Achive"/>
  </r>
  <r>
    <n v="800215"/>
    <x v="222"/>
    <x v="1"/>
    <x v="8"/>
    <s v="Mysuru"/>
    <x v="3"/>
    <s v="Sai Service Tata"/>
    <s v="Tata Motors"/>
    <x v="3"/>
    <x v="8"/>
    <s v="Fearless"/>
    <x v="2"/>
    <n v="2"/>
    <n v="1500000"/>
    <n v="1529302.55"/>
    <n v="12.5"/>
    <n v="0"/>
    <n v="3058605.1"/>
    <n v="382325.64"/>
    <n v="2676279.46"/>
    <s v="Achive"/>
  </r>
  <r>
    <n v="800010"/>
    <x v="223"/>
    <x v="2"/>
    <x v="12"/>
    <s v="Ludhiana"/>
    <x v="1"/>
    <s v="Capital Cars"/>
    <s v="Tata Motors"/>
    <x v="3"/>
    <x v="11"/>
    <s v="Accomplished"/>
    <x v="3"/>
    <n v="1"/>
    <n v="1800000"/>
    <n v="1807225.51"/>
    <n v="0"/>
    <n v="0"/>
    <n v="1807225.51"/>
    <n v="0"/>
    <n v="1807225.51"/>
    <s v="Not achive"/>
  </r>
  <r>
    <n v="800033"/>
    <x v="223"/>
    <x v="3"/>
    <x v="10"/>
    <s v="Nashik"/>
    <x v="3"/>
    <s v="Metro Tata Motors"/>
    <s v="Tata Motors"/>
    <x v="0"/>
    <x v="10"/>
    <s v="Creative"/>
    <x v="2"/>
    <n v="2"/>
    <n v="950000"/>
    <n v="938179.44"/>
    <n v="10"/>
    <n v="0"/>
    <n v="1876358.88"/>
    <n v="187635.89"/>
    <n v="1688722.99"/>
    <s v="Not achive"/>
  </r>
  <r>
    <n v="800058"/>
    <x v="223"/>
    <x v="1"/>
    <x v="5"/>
    <s v="Warangal"/>
    <x v="4"/>
    <s v="Sai Service Tata"/>
    <s v="Tata Motors"/>
    <x v="0"/>
    <x v="3"/>
    <s v="Creative"/>
    <x v="5"/>
    <n v="2"/>
    <n v="1200000"/>
    <n v="1177832.28"/>
    <n v="2"/>
    <n v="0"/>
    <n v="2355664.56"/>
    <n v="47113.29"/>
    <n v="2308551.27"/>
    <s v="Achive"/>
  </r>
  <r>
    <n v="800343"/>
    <x v="223"/>
    <x v="1"/>
    <x v="5"/>
    <s v="Warangal"/>
    <x v="2"/>
    <s v="Sai Service Tata"/>
    <s v="Tata Motors"/>
    <x v="0"/>
    <x v="10"/>
    <s v="Fearless+"/>
    <x v="8"/>
    <n v="1"/>
    <n v="950000"/>
    <n v="946228.8"/>
    <n v="0"/>
    <n v="0"/>
    <n v="946228.8"/>
    <n v="0"/>
    <n v="946228.8"/>
    <s v="Not achive"/>
  </r>
  <r>
    <n v="800517"/>
    <x v="223"/>
    <x v="2"/>
    <x v="4"/>
    <s v="Gurugram"/>
    <x v="4"/>
    <s v="Sai Service Tata"/>
    <s v="Tata Motors"/>
    <x v="0"/>
    <x v="14"/>
    <s v="XT"/>
    <x v="2"/>
    <n v="1"/>
    <n v="650000"/>
    <n v="656730.87"/>
    <n v="12.5"/>
    <n v="0"/>
    <n v="656730.87"/>
    <n v="82091.360000000001"/>
    <n v="574639.51"/>
    <s v="Not achive"/>
  </r>
  <r>
    <n v="800053"/>
    <x v="224"/>
    <x v="2"/>
    <x v="12"/>
    <s v="Ludhiana"/>
    <x v="0"/>
    <s v="Sai Service Tata"/>
    <s v="Tata Motors"/>
    <x v="0"/>
    <x v="4"/>
    <s v="XM"/>
    <x v="4"/>
    <n v="3"/>
    <n v="800000"/>
    <n v="796869.87"/>
    <n v="5"/>
    <n v="0"/>
    <n v="2390609.61"/>
    <n v="119530.48"/>
    <n v="2271079.13"/>
    <s v="Achive"/>
  </r>
  <r>
    <n v="800167"/>
    <x v="224"/>
    <x v="1"/>
    <x v="8"/>
    <s v="Mysuru"/>
    <x v="2"/>
    <s v="Sunrise Tata Showroom"/>
    <s v="Tata Motors"/>
    <x v="0"/>
    <x v="13"/>
    <s v="Smart"/>
    <x v="9"/>
    <n v="2"/>
    <n v="1900000"/>
    <n v="1905317.34"/>
    <n v="12.5"/>
    <n v="0"/>
    <n v="3810634.68"/>
    <n v="476329.34"/>
    <n v="3334305.34"/>
    <s v="Achive"/>
  </r>
  <r>
    <n v="800439"/>
    <x v="224"/>
    <x v="3"/>
    <x v="6"/>
    <s v="Vadodara"/>
    <x v="4"/>
    <s v="Sai Service Tata"/>
    <s v="Tata Motors"/>
    <x v="1"/>
    <x v="1"/>
    <s v="Base"/>
    <x v="5"/>
    <n v="4"/>
    <n v="550000"/>
    <n v="546457.73"/>
    <n v="7.5"/>
    <n v="0"/>
    <n v="2185830.92"/>
    <n v="163937.32"/>
    <n v="2021893.6"/>
    <s v="Achive"/>
  </r>
  <r>
    <n v="800048"/>
    <x v="225"/>
    <x v="0"/>
    <x v="7"/>
    <s v="Kolkata"/>
    <x v="0"/>
    <s v="Big Wheels Auto"/>
    <s v="Tata Motors"/>
    <x v="0"/>
    <x v="10"/>
    <s v="Creative"/>
    <x v="5"/>
    <n v="2"/>
    <n v="950000"/>
    <n v="933482.9"/>
    <n v="0"/>
    <n v="0"/>
    <n v="1866965.8"/>
    <n v="0"/>
    <n v="1866965.8"/>
    <s v="Not achive"/>
  </r>
  <r>
    <n v="800495"/>
    <x v="225"/>
    <x v="1"/>
    <x v="5"/>
    <s v="Hyderabad"/>
    <x v="1"/>
    <s v="National Tata Dealership"/>
    <s v="Tata Motors"/>
    <x v="0"/>
    <x v="0"/>
    <s v="XE"/>
    <x v="1"/>
    <n v="3"/>
    <n v="750000"/>
    <n v="755313.23"/>
    <n v="0"/>
    <n v="0"/>
    <n v="2265939.69"/>
    <n v="0"/>
    <n v="2265939.69"/>
    <s v="Achive"/>
  </r>
  <r>
    <n v="800525"/>
    <x v="225"/>
    <x v="2"/>
    <x v="4"/>
    <s v="Hisar"/>
    <x v="0"/>
    <s v="Landmark Motors"/>
    <s v="Tata Motors"/>
    <x v="3"/>
    <x v="11"/>
    <s v="Creative"/>
    <x v="8"/>
    <n v="1"/>
    <n v="1800000"/>
    <n v="1834794.32"/>
    <n v="0"/>
    <n v="0"/>
    <n v="1834794.32"/>
    <n v="0"/>
    <n v="1834794.32"/>
    <s v="Not achive"/>
  </r>
  <r>
    <n v="800649"/>
    <x v="225"/>
    <x v="0"/>
    <x v="0"/>
    <s v="Gaya"/>
    <x v="2"/>
    <s v="Landmark Motors"/>
    <s v="Tata Motors"/>
    <x v="3"/>
    <x v="11"/>
    <s v="Accomplished"/>
    <x v="6"/>
    <n v="3"/>
    <n v="1800000"/>
    <n v="1810699.25"/>
    <n v="0"/>
    <n v="0"/>
    <n v="5432097.75"/>
    <n v="0"/>
    <n v="5432097.75"/>
    <s v="Achive"/>
  </r>
  <r>
    <n v="800650"/>
    <x v="225"/>
    <x v="1"/>
    <x v="8"/>
    <s v="Hubli"/>
    <x v="1"/>
    <s v="Om Sai Auto Hub"/>
    <s v="Tata Motors"/>
    <x v="3"/>
    <x v="5"/>
    <s v="Empowered"/>
    <x v="9"/>
    <n v="3"/>
    <n v="1200000"/>
    <n v="1173601.6399999999"/>
    <n v="0"/>
    <n v="0"/>
    <n v="3520804.92"/>
    <n v="0"/>
    <n v="3520804.92"/>
    <s v="Achive"/>
  </r>
  <r>
    <n v="800071"/>
    <x v="226"/>
    <x v="2"/>
    <x v="12"/>
    <s v="Amritsar"/>
    <x v="4"/>
    <s v="Sunrise Tata Showroom"/>
    <s v="Tata Motors"/>
    <x v="0"/>
    <x v="10"/>
    <s v="Smart"/>
    <x v="6"/>
    <n v="3"/>
    <n v="950000"/>
    <n v="960684.04"/>
    <n v="0"/>
    <n v="0"/>
    <n v="2882052.12"/>
    <n v="0"/>
    <n v="2882052.12"/>
    <s v="Achive"/>
  </r>
  <r>
    <n v="800256"/>
    <x v="226"/>
    <x v="1"/>
    <x v="8"/>
    <s v="Mysuru"/>
    <x v="4"/>
    <s v="National Tata Dealership"/>
    <s v="Tata Motors"/>
    <x v="0"/>
    <x v="3"/>
    <s v="Smart"/>
    <x v="3"/>
    <n v="1"/>
    <n v="1200000"/>
    <n v="1173033.98"/>
    <n v="10"/>
    <n v="0"/>
    <n v="1173033.98"/>
    <n v="117303.4"/>
    <n v="1055730.58"/>
    <s v="Not achive"/>
  </r>
  <r>
    <n v="800213"/>
    <x v="227"/>
    <x v="0"/>
    <x v="1"/>
    <s v="Cuttack"/>
    <x v="4"/>
    <s v="Metro Tata Motors"/>
    <s v="Tata Motors"/>
    <x v="3"/>
    <x v="5"/>
    <s v="Adventure"/>
    <x v="9"/>
    <n v="1"/>
    <n v="1200000"/>
    <n v="1219924.03"/>
    <n v="2"/>
    <n v="0"/>
    <n v="1219924.03"/>
    <n v="24398.48"/>
    <n v="1195525.55"/>
    <s v="Not achive"/>
  </r>
  <r>
    <n v="800460"/>
    <x v="228"/>
    <x v="0"/>
    <x v="0"/>
    <s v="Patna"/>
    <x v="1"/>
    <s v="Reliance Trishakti"/>
    <s v="Tata Motors"/>
    <x v="0"/>
    <x v="3"/>
    <s v="Creative"/>
    <x v="6"/>
    <n v="2"/>
    <n v="1200000"/>
    <n v="1168764.3"/>
    <n v="0"/>
    <n v="0"/>
    <n v="2337528.6"/>
    <n v="0"/>
    <n v="2337528.6"/>
    <s v="Achive"/>
  </r>
  <r>
    <n v="800072"/>
    <x v="229"/>
    <x v="0"/>
    <x v="7"/>
    <s v="Kolkata"/>
    <x v="3"/>
    <s v="Om Sai Auto Hub"/>
    <s v="Tata Motors"/>
    <x v="0"/>
    <x v="10"/>
    <s v="Fearless+"/>
    <x v="1"/>
    <n v="3"/>
    <n v="950000"/>
    <n v="942496.95"/>
    <n v="0"/>
    <n v="0"/>
    <n v="2827490.85"/>
    <n v="0"/>
    <n v="2827490.85"/>
    <s v="Achive"/>
  </r>
  <r>
    <n v="800177"/>
    <x v="229"/>
    <x v="1"/>
    <x v="13"/>
    <s v="Kochi"/>
    <x v="3"/>
    <s v="Statesman Cars"/>
    <s v="Tata Motors"/>
    <x v="0"/>
    <x v="3"/>
    <s v="Smart"/>
    <x v="1"/>
    <n v="3"/>
    <n v="1200000"/>
    <n v="1223330.28"/>
    <n v="7.5"/>
    <n v="0"/>
    <n v="3669990.84"/>
    <n v="275249.31"/>
    <n v="3394741.53"/>
    <s v="Achive"/>
  </r>
  <r>
    <n v="800073"/>
    <x v="230"/>
    <x v="3"/>
    <x v="6"/>
    <s v="Surat"/>
    <x v="0"/>
    <s v="Concorde Tata"/>
    <s v="Tata Motors"/>
    <x v="0"/>
    <x v="14"/>
    <s v="XZ+"/>
    <x v="7"/>
    <n v="1"/>
    <n v="650000"/>
    <n v="653567.93999999994"/>
    <n v="5"/>
    <n v="0"/>
    <n v="653567.93999999994"/>
    <n v="32678.400000000001"/>
    <n v="620889.54"/>
    <s v="Not achive"/>
  </r>
  <r>
    <n v="800145"/>
    <x v="230"/>
    <x v="3"/>
    <x v="10"/>
    <s v="Nagpur"/>
    <x v="3"/>
    <s v="Prerna Automobiles"/>
    <s v="Tata Motors"/>
    <x v="1"/>
    <x v="1"/>
    <s v="CNG"/>
    <x v="0"/>
    <n v="3"/>
    <n v="550000"/>
    <n v="548735.59"/>
    <n v="7.5"/>
    <n v="0"/>
    <n v="1646206.77"/>
    <n v="123465.51"/>
    <n v="1522741.26"/>
    <s v="Not achive"/>
  </r>
  <r>
    <n v="800189"/>
    <x v="231"/>
    <x v="0"/>
    <x v="0"/>
    <s v="Gaya"/>
    <x v="3"/>
    <s v="Prerna Automobiles"/>
    <s v="Tata Motors"/>
    <x v="3"/>
    <x v="5"/>
    <s v="Empowered"/>
    <x v="4"/>
    <n v="2"/>
    <n v="1200000"/>
    <n v="1218884.47"/>
    <n v="10"/>
    <n v="0"/>
    <n v="2437768.94"/>
    <n v="243776.89"/>
    <n v="2193992.0499999998"/>
    <s v="Achive"/>
  </r>
  <r>
    <n v="800207"/>
    <x v="231"/>
    <x v="1"/>
    <x v="2"/>
    <s v="Chennai"/>
    <x v="2"/>
    <s v="Sunrise Tata Showroom"/>
    <s v="Tata Motors"/>
    <x v="0"/>
    <x v="3"/>
    <s v="Creative"/>
    <x v="5"/>
    <n v="1"/>
    <n v="1200000"/>
    <n v="1171950.42"/>
    <n v="0"/>
    <n v="0"/>
    <n v="1171950.42"/>
    <n v="0"/>
    <n v="1171950.42"/>
    <s v="Not achive"/>
  </r>
  <r>
    <n v="800416"/>
    <x v="231"/>
    <x v="2"/>
    <x v="4"/>
    <s v="Gurugram"/>
    <x v="2"/>
    <s v="Big Wheels Auto"/>
    <s v="Tata Motors"/>
    <x v="0"/>
    <x v="7"/>
    <s v="Smart"/>
    <x v="3"/>
    <n v="1"/>
    <n v="1700000"/>
    <n v="1659695.33"/>
    <n v="2"/>
    <n v="0"/>
    <n v="1659695.33"/>
    <n v="33193.910000000003"/>
    <n v="1626501.42"/>
    <s v="Not achive"/>
  </r>
  <r>
    <n v="800030"/>
    <x v="232"/>
    <x v="3"/>
    <x v="6"/>
    <s v="Vadodara"/>
    <x v="2"/>
    <s v="Sunrise Tata Showroom"/>
    <s v="Tata Motors"/>
    <x v="0"/>
    <x v="10"/>
    <s v="Smart"/>
    <x v="9"/>
    <n v="1"/>
    <n v="950000"/>
    <n v="953898.17"/>
    <n v="0"/>
    <n v="0"/>
    <n v="953898.17"/>
    <n v="0"/>
    <n v="953898.17"/>
    <s v="Not achive"/>
  </r>
  <r>
    <n v="800376"/>
    <x v="232"/>
    <x v="1"/>
    <x v="13"/>
    <s v="Thiruvananthapuram"/>
    <x v="1"/>
    <s v="Big Wheels Auto"/>
    <s v="Tata Motors"/>
    <x v="3"/>
    <x v="12"/>
    <s v="XZ+"/>
    <x v="6"/>
    <n v="1"/>
    <n v="1250000"/>
    <n v="1238326.76"/>
    <n v="12.5"/>
    <n v="0"/>
    <n v="1238326.76"/>
    <n v="154790.85"/>
    <n v="1083535.9099999999"/>
    <s v="Not achive"/>
  </r>
  <r>
    <n v="800417"/>
    <x v="232"/>
    <x v="1"/>
    <x v="5"/>
    <s v="Hyderabad"/>
    <x v="2"/>
    <s v="Sai Service Tata"/>
    <s v="Tata Motors"/>
    <x v="3"/>
    <x v="8"/>
    <s v="Fearless"/>
    <x v="4"/>
    <n v="2"/>
    <n v="1500000"/>
    <n v="1522399.73"/>
    <n v="12.5"/>
    <n v="0"/>
    <n v="3044799.46"/>
    <n v="380599.93"/>
    <n v="2664199.5299999998"/>
    <s v="Achive"/>
  </r>
  <r>
    <n v="800226"/>
    <x v="233"/>
    <x v="1"/>
    <x v="8"/>
    <s v="Hubli"/>
    <x v="4"/>
    <s v="Capital Cars"/>
    <s v="Tata Motors"/>
    <x v="3"/>
    <x v="12"/>
    <s v="XE"/>
    <x v="9"/>
    <n v="1"/>
    <n v="1250000"/>
    <n v="1242788.06"/>
    <n v="2"/>
    <n v="0"/>
    <n v="1242788.06"/>
    <n v="24855.759999999998"/>
    <n v="1217932.3"/>
    <s v="Not achive"/>
  </r>
  <r>
    <n v="800178"/>
    <x v="234"/>
    <x v="0"/>
    <x v="1"/>
    <s v="Cuttack"/>
    <x v="3"/>
    <s v="Reliance Trishakti"/>
    <s v="Tata Motors"/>
    <x v="1"/>
    <x v="1"/>
    <s v="Base"/>
    <x v="3"/>
    <n v="4"/>
    <n v="550000"/>
    <n v="548024.76"/>
    <n v="7.5"/>
    <n v="0"/>
    <n v="2192099.04"/>
    <n v="164407.43"/>
    <n v="2027691.61"/>
    <s v="Achive"/>
  </r>
  <r>
    <n v="800202"/>
    <x v="234"/>
    <x v="1"/>
    <x v="2"/>
    <s v="Chennai"/>
    <x v="3"/>
    <s v="Prerna Automobiles"/>
    <s v="Tata Motors"/>
    <x v="2"/>
    <x v="9"/>
    <s v="CX"/>
    <x v="5"/>
    <n v="1"/>
    <n v="1000000"/>
    <n v="1016207.96"/>
    <n v="5"/>
    <n v="0"/>
    <n v="1016207.96"/>
    <n v="50810.400000000001"/>
    <n v="965397.56"/>
    <s v="Not achive"/>
  </r>
  <r>
    <n v="800271"/>
    <x v="234"/>
    <x v="0"/>
    <x v="7"/>
    <s v="Kolkata"/>
    <x v="3"/>
    <s v="Prerna Automobiles"/>
    <s v="Tata Motors"/>
    <x v="3"/>
    <x v="12"/>
    <s v="XZ+"/>
    <x v="9"/>
    <n v="3"/>
    <n v="1250000"/>
    <n v="1214262.9099999999"/>
    <n v="7.5"/>
    <n v="0"/>
    <n v="3642788.73"/>
    <n v="273209.15000000002"/>
    <n v="3369579.58"/>
    <s v="Achive"/>
  </r>
  <r>
    <n v="800457"/>
    <x v="235"/>
    <x v="1"/>
    <x v="2"/>
    <s v="Coimbatore"/>
    <x v="1"/>
    <s v="National Tata Dealership"/>
    <s v="Tata Motors"/>
    <x v="0"/>
    <x v="4"/>
    <s v="XM"/>
    <x v="3"/>
    <n v="2"/>
    <n v="800000"/>
    <n v="777756.24"/>
    <n v="0"/>
    <n v="0"/>
    <n v="1555512.48"/>
    <n v="0"/>
    <n v="1555512.48"/>
    <s v="Not achive"/>
  </r>
  <r>
    <n v="800007"/>
    <x v="236"/>
    <x v="3"/>
    <x v="9"/>
    <s v="Jodhpur"/>
    <x v="2"/>
    <s v="Prerna Automobiles"/>
    <s v="Tata Motors"/>
    <x v="2"/>
    <x v="2"/>
    <s v="Base"/>
    <x v="9"/>
    <n v="4"/>
    <n v="800000"/>
    <n v="786709.64"/>
    <n v="2"/>
    <n v="0"/>
    <n v="3146838.56"/>
    <n v="62936.77"/>
    <n v="3083901.79"/>
    <s v="Achive"/>
  </r>
  <r>
    <n v="800173"/>
    <x v="236"/>
    <x v="1"/>
    <x v="8"/>
    <s v="Hubli"/>
    <x v="4"/>
    <s v="Statesman Cars"/>
    <s v="Tata Motors"/>
    <x v="0"/>
    <x v="13"/>
    <s v="Pure"/>
    <x v="5"/>
    <n v="3"/>
    <n v="1900000"/>
    <n v="1860688.91"/>
    <n v="7.5"/>
    <n v="0"/>
    <n v="5582066.7300000004"/>
    <n v="418655"/>
    <n v="5163411.7300000004"/>
    <s v="Achive"/>
  </r>
  <r>
    <n v="800054"/>
    <x v="237"/>
    <x v="0"/>
    <x v="7"/>
    <s v="Howrah"/>
    <x v="1"/>
    <s v="Sunrise Tata Showroom"/>
    <s v="Tata Motors"/>
    <x v="0"/>
    <x v="10"/>
    <s v="Smart"/>
    <x v="2"/>
    <n v="2"/>
    <n v="950000"/>
    <n v="963377.48"/>
    <n v="2"/>
    <n v="0"/>
    <n v="1926754.96"/>
    <n v="38535.1"/>
    <n v="1888219.86"/>
    <s v="Not achive"/>
  </r>
  <r>
    <n v="800430"/>
    <x v="237"/>
    <x v="1"/>
    <x v="8"/>
    <s v="Hubli"/>
    <x v="4"/>
    <s v="Big Wheels Auto"/>
    <s v="Tata Motors"/>
    <x v="2"/>
    <x v="9"/>
    <s v="Base"/>
    <x v="8"/>
    <n v="3"/>
    <n v="1000000"/>
    <n v="1010553.71"/>
    <n v="0"/>
    <n v="0"/>
    <n v="3031661.13"/>
    <n v="0"/>
    <n v="3031661.13"/>
    <s v="Achive"/>
  </r>
  <r>
    <n v="800265"/>
    <x v="238"/>
    <x v="2"/>
    <x v="11"/>
    <s v="New Delhi"/>
    <x v="3"/>
    <s v="Reliance Trishakti"/>
    <s v="Tata Motors"/>
    <x v="0"/>
    <x v="3"/>
    <s v="Smart"/>
    <x v="2"/>
    <n v="2"/>
    <n v="1200000"/>
    <n v="1171351.6599999999"/>
    <n v="12.5"/>
    <n v="0"/>
    <n v="2342703.3199999998"/>
    <n v="292837.90999999997"/>
    <n v="2049865.41"/>
    <s v="Achive"/>
  </r>
  <r>
    <n v="800445"/>
    <x v="238"/>
    <x v="2"/>
    <x v="4"/>
    <s v="Faridabad"/>
    <x v="3"/>
    <s v="Big Wheels Auto"/>
    <s v="Tata Motors"/>
    <x v="2"/>
    <x v="9"/>
    <s v="CX"/>
    <x v="4"/>
    <n v="1"/>
    <n v="1000000"/>
    <n v="1006494.48"/>
    <n v="2"/>
    <n v="0"/>
    <n v="1006494.48"/>
    <n v="20129.89"/>
    <n v="986364.59"/>
    <s v="Not achive"/>
  </r>
  <r>
    <n v="800497"/>
    <x v="238"/>
    <x v="1"/>
    <x v="8"/>
    <s v="Hubli"/>
    <x v="1"/>
    <s v="Sai Service Tata"/>
    <s v="Tata Motors"/>
    <x v="3"/>
    <x v="5"/>
    <s v="Empowered"/>
    <x v="7"/>
    <n v="2"/>
    <n v="1200000"/>
    <n v="1167685.07"/>
    <n v="12.5"/>
    <n v="0"/>
    <n v="2335370.14"/>
    <n v="291921.27"/>
    <n v="2043448.87"/>
    <s v="Achive"/>
  </r>
  <r>
    <n v="800186"/>
    <x v="239"/>
    <x v="0"/>
    <x v="7"/>
    <s v="Kolkata"/>
    <x v="1"/>
    <s v="Prerna Automobiles"/>
    <s v="Tata Motors"/>
    <x v="1"/>
    <x v="1"/>
    <s v="Base"/>
    <x v="4"/>
    <n v="5"/>
    <n v="550000"/>
    <n v="560820.79"/>
    <n v="2"/>
    <n v="0"/>
    <n v="2804103.95"/>
    <n v="56082.080000000002"/>
    <n v="2748021.87"/>
    <s v="Achive"/>
  </r>
  <r>
    <n v="800154"/>
    <x v="240"/>
    <x v="0"/>
    <x v="0"/>
    <s v="Patna"/>
    <x v="2"/>
    <s v="Landmark Motors"/>
    <s v="Tata Motors"/>
    <x v="3"/>
    <x v="5"/>
    <s v="Adventure"/>
    <x v="7"/>
    <n v="2"/>
    <n v="1200000"/>
    <n v="1178896.22"/>
    <n v="0"/>
    <n v="0"/>
    <n v="2357792.44"/>
    <n v="0"/>
    <n v="2357792.44"/>
    <s v="Achive"/>
  </r>
  <r>
    <n v="800279"/>
    <x v="240"/>
    <x v="0"/>
    <x v="7"/>
    <s v="Howrah"/>
    <x v="3"/>
    <s v="Metro Tata Motors"/>
    <s v="Tata Motors"/>
    <x v="0"/>
    <x v="3"/>
    <s v="Creative"/>
    <x v="9"/>
    <n v="3"/>
    <n v="1200000"/>
    <n v="1186520.8500000001"/>
    <n v="12.5"/>
    <n v="0"/>
    <n v="3559562.55"/>
    <n v="444945.32"/>
    <n v="3114617.23"/>
    <s v="Achive"/>
  </r>
  <r>
    <n v="800431"/>
    <x v="240"/>
    <x v="3"/>
    <x v="9"/>
    <s v="Jaipur"/>
    <x v="4"/>
    <s v="Capital Cars"/>
    <s v="Tata Motors"/>
    <x v="0"/>
    <x v="4"/>
    <s v="XM"/>
    <x v="7"/>
    <n v="1"/>
    <n v="800000"/>
    <n v="799809.25"/>
    <n v="5"/>
    <n v="0"/>
    <n v="799809.25"/>
    <n v="39990.46"/>
    <n v="759818.79"/>
    <s v="Not achive"/>
  </r>
  <r>
    <n v="800462"/>
    <x v="241"/>
    <x v="1"/>
    <x v="13"/>
    <s v="Kochi"/>
    <x v="2"/>
    <s v="Concorde Tata"/>
    <s v="Tata Motors"/>
    <x v="3"/>
    <x v="8"/>
    <s v="Creative"/>
    <x v="4"/>
    <n v="3"/>
    <n v="1500000"/>
    <n v="1476328.54"/>
    <n v="0"/>
    <n v="0"/>
    <n v="4428985.62"/>
    <n v="0"/>
    <n v="4428985.62"/>
    <s v="Achive"/>
  </r>
  <r>
    <n v="800533"/>
    <x v="241"/>
    <x v="0"/>
    <x v="0"/>
    <s v="Gaya"/>
    <x v="0"/>
    <s v="Sunrise Tata Showroom"/>
    <s v="Tata Motors"/>
    <x v="0"/>
    <x v="14"/>
    <s v="XZ+"/>
    <x v="6"/>
    <n v="3"/>
    <n v="650000"/>
    <n v="658859.44999999995"/>
    <n v="2"/>
    <n v="0"/>
    <n v="1976578.35"/>
    <n v="39531.57"/>
    <n v="1937046.78"/>
    <s v="Not achive"/>
  </r>
  <r>
    <n v="800562"/>
    <x v="241"/>
    <x v="3"/>
    <x v="9"/>
    <s v="Jodhpur"/>
    <x v="4"/>
    <s v="Reliance Trishakti"/>
    <s v="Tata Motors"/>
    <x v="1"/>
    <x v="1"/>
    <s v="CNG"/>
    <x v="5"/>
    <n v="6"/>
    <n v="550000"/>
    <n v="552694.11"/>
    <n v="7.5"/>
    <n v="0"/>
    <n v="3316164.66"/>
    <n v="248712.35"/>
    <n v="3067452.31"/>
    <s v="Achive"/>
  </r>
  <r>
    <n v="800588"/>
    <x v="241"/>
    <x v="2"/>
    <x v="3"/>
    <s v="Agra"/>
    <x v="4"/>
    <s v="Landmark Motors"/>
    <s v="Tata Motors"/>
    <x v="3"/>
    <x v="5"/>
    <s v="Empowered"/>
    <x v="6"/>
    <n v="1"/>
    <n v="1200000"/>
    <n v="1201474.3400000001"/>
    <n v="0"/>
    <n v="0"/>
    <n v="1201474.3400000001"/>
    <n v="0"/>
    <n v="1201474.3400000001"/>
    <s v="Not achive"/>
  </r>
  <r>
    <n v="800336"/>
    <x v="242"/>
    <x v="1"/>
    <x v="8"/>
    <s v="Bengaluru"/>
    <x v="3"/>
    <s v="Om Sai Auto Hub"/>
    <s v="Tata Motors"/>
    <x v="3"/>
    <x v="11"/>
    <s v="Empowered"/>
    <x v="9"/>
    <n v="3"/>
    <n v="1800000"/>
    <n v="1756386.47"/>
    <n v="7.5"/>
    <n v="0"/>
    <n v="5269159.41"/>
    <n v="395186.96"/>
    <n v="4873972.45"/>
    <s v="Achive"/>
  </r>
  <r>
    <n v="800194"/>
    <x v="243"/>
    <x v="1"/>
    <x v="8"/>
    <s v="Mysuru"/>
    <x v="4"/>
    <s v="Metro Tata Motors"/>
    <s v="Tata Motors"/>
    <x v="0"/>
    <x v="14"/>
    <s v="XZ+"/>
    <x v="8"/>
    <n v="3"/>
    <n v="650000"/>
    <n v="635242.49"/>
    <n v="5"/>
    <n v="0"/>
    <n v="1905727.47"/>
    <n v="95286.37"/>
    <n v="1810441.1"/>
    <s v="Not achive"/>
  </r>
  <r>
    <n v="800205"/>
    <x v="243"/>
    <x v="0"/>
    <x v="7"/>
    <s v="Kolkata"/>
    <x v="4"/>
    <s v="Capital Cars"/>
    <s v="Tata Motors"/>
    <x v="0"/>
    <x v="3"/>
    <s v="Smart"/>
    <x v="9"/>
    <n v="3"/>
    <n v="1200000"/>
    <n v="1220468.57"/>
    <n v="10"/>
    <n v="0"/>
    <n v="3661405.71"/>
    <n v="366140.57"/>
    <n v="3295265.14"/>
    <s v="Achive"/>
  </r>
  <r>
    <n v="800306"/>
    <x v="243"/>
    <x v="3"/>
    <x v="9"/>
    <s v="Jodhpur"/>
    <x v="2"/>
    <s v="Prerna Automobiles"/>
    <s v="Tata Motors"/>
    <x v="0"/>
    <x v="10"/>
    <s v="Smart"/>
    <x v="5"/>
    <n v="2"/>
    <n v="950000"/>
    <n v="958934.3"/>
    <n v="7.5"/>
    <n v="0"/>
    <n v="1917868.6"/>
    <n v="143840.14000000001"/>
    <n v="1774028.46"/>
    <s v="Not achive"/>
  </r>
  <r>
    <n v="800350"/>
    <x v="243"/>
    <x v="0"/>
    <x v="7"/>
    <s v="Howrah"/>
    <x v="0"/>
    <s v="Big Wheels Auto"/>
    <s v="Tata Motors"/>
    <x v="0"/>
    <x v="14"/>
    <s v="XT"/>
    <x v="2"/>
    <n v="3"/>
    <n v="650000"/>
    <n v="630691.72"/>
    <n v="0"/>
    <n v="0"/>
    <n v="1892075.16"/>
    <n v="0"/>
    <n v="1892075.16"/>
    <s v="Not achive"/>
  </r>
  <r>
    <n v="800375"/>
    <x v="243"/>
    <x v="2"/>
    <x v="11"/>
    <s v="New Delhi"/>
    <x v="0"/>
    <s v="Reliance Trishakti"/>
    <s v="Tata Motors"/>
    <x v="0"/>
    <x v="6"/>
    <s v="Creative+"/>
    <x v="9"/>
    <n v="2"/>
    <n v="700000"/>
    <n v="691679.44"/>
    <n v="0"/>
    <n v="0"/>
    <n v="1383358.88"/>
    <n v="0"/>
    <n v="1383358.88"/>
    <s v="Not achive"/>
  </r>
  <r>
    <n v="800529"/>
    <x v="243"/>
    <x v="1"/>
    <x v="8"/>
    <s v="Hubli"/>
    <x v="4"/>
    <s v="Prerna Automobiles"/>
    <s v="Tata Motors"/>
    <x v="0"/>
    <x v="0"/>
    <s v="XE"/>
    <x v="6"/>
    <n v="1"/>
    <n v="750000"/>
    <n v="741582.46"/>
    <n v="2"/>
    <n v="0"/>
    <n v="741582.46"/>
    <n v="14831.65"/>
    <n v="726750.81"/>
    <s v="Not achive"/>
  </r>
  <r>
    <n v="800002"/>
    <x v="244"/>
    <x v="2"/>
    <x v="11"/>
    <s v="New Delhi"/>
    <x v="3"/>
    <s v="Om Sai Auto Hub"/>
    <s v="Tata Motors"/>
    <x v="3"/>
    <x v="12"/>
    <s v="XE"/>
    <x v="3"/>
    <n v="1"/>
    <n v="1250000"/>
    <n v="1257251.23"/>
    <n v="10"/>
    <n v="0"/>
    <n v="1257251.23"/>
    <n v="125725.12"/>
    <n v="1131526.1100000001"/>
    <s v="Not achive"/>
  </r>
  <r>
    <n v="800230"/>
    <x v="244"/>
    <x v="3"/>
    <x v="6"/>
    <s v="Vadodara"/>
    <x v="0"/>
    <s v="Sunrise Tata Showroom"/>
    <s v="Tata Motors"/>
    <x v="0"/>
    <x v="10"/>
    <s v="Smart"/>
    <x v="1"/>
    <n v="1"/>
    <n v="950000"/>
    <n v="958342.5"/>
    <n v="2"/>
    <n v="0"/>
    <n v="958342.5"/>
    <n v="19166.849999999999"/>
    <n v="939175.65"/>
    <s v="Not achive"/>
  </r>
  <r>
    <n v="800187"/>
    <x v="245"/>
    <x v="1"/>
    <x v="13"/>
    <s v="Kochi"/>
    <x v="4"/>
    <s v="Statesman Cars"/>
    <s v="Tata Motors"/>
    <x v="0"/>
    <x v="7"/>
    <s v="Fearless+"/>
    <x v="8"/>
    <n v="2"/>
    <n v="1700000"/>
    <n v="1674542.58"/>
    <n v="0"/>
    <n v="0"/>
    <n v="3349085.16"/>
    <n v="0"/>
    <n v="3349085.16"/>
    <s v="Achive"/>
  </r>
  <r>
    <n v="800367"/>
    <x v="245"/>
    <x v="3"/>
    <x v="6"/>
    <s v="Ahmedabad"/>
    <x v="2"/>
    <s v="Reliance Trishakti"/>
    <s v="Tata Motors"/>
    <x v="0"/>
    <x v="6"/>
    <s v="Adventure"/>
    <x v="9"/>
    <n v="3"/>
    <n v="700000"/>
    <n v="682966.85"/>
    <n v="12.5"/>
    <n v="0"/>
    <n v="2048900.55"/>
    <n v="256112.57"/>
    <n v="1792787.98"/>
    <s v="Not achive"/>
  </r>
  <r>
    <n v="800455"/>
    <x v="245"/>
    <x v="0"/>
    <x v="0"/>
    <s v="Patna"/>
    <x v="3"/>
    <s v="National Tata Dealership"/>
    <s v="Tata Motors"/>
    <x v="2"/>
    <x v="9"/>
    <s v="Base"/>
    <x v="6"/>
    <n v="4"/>
    <n v="1000000"/>
    <n v="986173.05"/>
    <n v="0"/>
    <n v="0"/>
    <n v="3944692.2"/>
    <n v="0"/>
    <n v="3944692.2"/>
    <s v="Achive"/>
  </r>
  <r>
    <n v="800619"/>
    <x v="245"/>
    <x v="3"/>
    <x v="6"/>
    <s v="Vadodara"/>
    <x v="3"/>
    <s v="Capital Cars"/>
    <s v="Tata Motors"/>
    <x v="0"/>
    <x v="7"/>
    <s v="Smart"/>
    <x v="9"/>
    <n v="1"/>
    <n v="1700000"/>
    <n v="1673163.91"/>
    <n v="0"/>
    <n v="0"/>
    <n v="1673163.91"/>
    <n v="0"/>
    <n v="1673163.91"/>
    <s v="Not achive"/>
  </r>
  <r>
    <n v="800515"/>
    <x v="246"/>
    <x v="0"/>
    <x v="0"/>
    <s v="Gaya"/>
    <x v="0"/>
    <s v="Concorde Tata"/>
    <s v="Tata Motors"/>
    <x v="2"/>
    <x v="9"/>
    <s v="CX"/>
    <x v="8"/>
    <n v="2"/>
    <n v="1000000"/>
    <n v="971784.91"/>
    <n v="0"/>
    <n v="0"/>
    <n v="1943569.82"/>
    <n v="0"/>
    <n v="1943569.82"/>
    <s v="Not achive"/>
  </r>
  <r>
    <n v="800066"/>
    <x v="247"/>
    <x v="3"/>
    <x v="6"/>
    <s v="Vadodara"/>
    <x v="1"/>
    <s v="Prerna Automobiles"/>
    <s v="Tata Motors"/>
    <x v="0"/>
    <x v="7"/>
    <s v="Smart"/>
    <x v="5"/>
    <n v="1"/>
    <n v="1700000"/>
    <n v="1655069.84"/>
    <n v="0"/>
    <n v="0"/>
    <n v="1655069.84"/>
    <n v="0"/>
    <n v="1655069.84"/>
    <s v="Not achive"/>
  </r>
  <r>
    <n v="800055"/>
    <x v="248"/>
    <x v="0"/>
    <x v="7"/>
    <s v="Kolkata"/>
    <x v="0"/>
    <s v="Big Wheels Auto"/>
    <s v="Tata Motors"/>
    <x v="0"/>
    <x v="4"/>
    <s v="XM"/>
    <x v="8"/>
    <n v="2"/>
    <n v="800000"/>
    <n v="807913.29"/>
    <n v="7.5"/>
    <n v="0"/>
    <n v="1615826.58"/>
    <n v="121186.99"/>
    <n v="1494639.59"/>
    <s v="Not achive"/>
  </r>
  <r>
    <n v="800611"/>
    <x v="248"/>
    <x v="0"/>
    <x v="0"/>
    <s v="Patna"/>
    <x v="0"/>
    <s v="Statesman Cars"/>
    <s v="Tata Motors"/>
    <x v="2"/>
    <x v="2"/>
    <s v="AC Cabin"/>
    <x v="6"/>
    <n v="6"/>
    <n v="800000"/>
    <n v="784488.71"/>
    <n v="10"/>
    <n v="0"/>
    <n v="4706932.26"/>
    <n v="470693.23"/>
    <n v="4236239.03"/>
    <s v="Achive"/>
  </r>
  <r>
    <n v="800067"/>
    <x v="249"/>
    <x v="1"/>
    <x v="5"/>
    <s v="Hyderabad"/>
    <x v="0"/>
    <s v="Sai Service Tata"/>
    <s v="Tata Motors"/>
    <x v="3"/>
    <x v="5"/>
    <s v="Empowered"/>
    <x v="6"/>
    <n v="2"/>
    <n v="1200000"/>
    <n v="1194028.33"/>
    <n v="12.5"/>
    <n v="0"/>
    <n v="2388056.66"/>
    <n v="298507.08"/>
    <n v="2089549.58"/>
    <s v="Achive"/>
  </r>
  <r>
    <n v="800380"/>
    <x v="249"/>
    <x v="0"/>
    <x v="1"/>
    <s v="Bhubaneswar"/>
    <x v="1"/>
    <s v="Landmark Motors"/>
    <s v="Tata Motors"/>
    <x v="1"/>
    <x v="1"/>
    <s v="Base"/>
    <x v="1"/>
    <n v="4"/>
    <n v="550000"/>
    <n v="533794.54"/>
    <n v="5"/>
    <n v="0"/>
    <n v="2135178.16"/>
    <n v="106758.91"/>
    <n v="2028419.25"/>
    <s v="Achive"/>
  </r>
  <r>
    <n v="800554"/>
    <x v="249"/>
    <x v="3"/>
    <x v="9"/>
    <s v="Jodhpur"/>
    <x v="0"/>
    <s v="Capital Cars"/>
    <s v="Tata Motors"/>
    <x v="3"/>
    <x v="5"/>
    <s v="Smart"/>
    <x v="6"/>
    <n v="3"/>
    <n v="1200000"/>
    <n v="1217785.73"/>
    <n v="0"/>
    <n v="0"/>
    <n v="3653357.19"/>
    <n v="0"/>
    <n v="3653357.19"/>
    <s v="Achive"/>
  </r>
  <r>
    <n v="800561"/>
    <x v="249"/>
    <x v="2"/>
    <x v="4"/>
    <s v="Hisar"/>
    <x v="1"/>
    <s v="Reliance Trishakti"/>
    <s v="Tata Motors"/>
    <x v="2"/>
    <x v="9"/>
    <s v="Base"/>
    <x v="3"/>
    <n v="2"/>
    <n v="1000000"/>
    <n v="1008322.12"/>
    <n v="0"/>
    <n v="0"/>
    <n v="2016644.24"/>
    <n v="0"/>
    <n v="2016644.24"/>
    <s v="Achive"/>
  </r>
  <r>
    <n v="800432"/>
    <x v="250"/>
    <x v="0"/>
    <x v="0"/>
    <s v="Patna"/>
    <x v="4"/>
    <s v="Big Wheels Auto"/>
    <s v="Tata Motors"/>
    <x v="2"/>
    <x v="9"/>
    <s v="CX"/>
    <x v="6"/>
    <n v="1"/>
    <n v="1000000"/>
    <n v="1013489.33"/>
    <n v="2"/>
    <n v="0"/>
    <n v="1013489.33"/>
    <n v="20269.79"/>
    <n v="993219.54"/>
    <s v="Not achive"/>
  </r>
  <r>
    <n v="800461"/>
    <x v="250"/>
    <x v="1"/>
    <x v="8"/>
    <s v="Hubli"/>
    <x v="3"/>
    <s v="Statesman Cars"/>
    <s v="Tata Motors"/>
    <x v="0"/>
    <x v="14"/>
    <s v="XZ+"/>
    <x v="9"/>
    <n v="1"/>
    <n v="650000"/>
    <n v="635224.67000000004"/>
    <n v="0"/>
    <n v="0"/>
    <n v="635224.67000000004"/>
    <n v="0"/>
    <n v="635224.67000000004"/>
    <s v="Not achive"/>
  </r>
  <r>
    <n v="800126"/>
    <x v="251"/>
    <x v="3"/>
    <x v="6"/>
    <s v="Ahmedabad"/>
    <x v="1"/>
    <s v="Capital Cars"/>
    <s v="Tata Motors"/>
    <x v="0"/>
    <x v="3"/>
    <s v="Creative"/>
    <x v="6"/>
    <n v="3"/>
    <n v="1200000"/>
    <n v="1195647.5900000001"/>
    <n v="0"/>
    <n v="0"/>
    <n v="3586942.77"/>
    <n v="0"/>
    <n v="3586942.77"/>
    <s v="Achive"/>
  </r>
  <r>
    <n v="800399"/>
    <x v="251"/>
    <x v="0"/>
    <x v="1"/>
    <s v="Bhubaneswar"/>
    <x v="2"/>
    <s v="Concorde Tata"/>
    <s v="Tata Motors"/>
    <x v="0"/>
    <x v="4"/>
    <s v="XM"/>
    <x v="8"/>
    <n v="2"/>
    <n v="800000"/>
    <n v="788675.13"/>
    <n v="5"/>
    <n v="0"/>
    <n v="1577350.26"/>
    <n v="78867.509999999995"/>
    <n v="1498482.75"/>
    <s v="Not achive"/>
  </r>
  <r>
    <n v="800449"/>
    <x v="251"/>
    <x v="1"/>
    <x v="8"/>
    <s v="Bengaluru"/>
    <x v="3"/>
    <s v="Prerna Automobiles"/>
    <s v="Tata Motors"/>
    <x v="0"/>
    <x v="7"/>
    <s v="Smart"/>
    <x v="9"/>
    <n v="1"/>
    <n v="1700000"/>
    <n v="1707492.01"/>
    <n v="12.5"/>
    <n v="0"/>
    <n v="1707492.01"/>
    <n v="213436.5"/>
    <n v="1494055.51"/>
    <s v="Not achive"/>
  </r>
  <r>
    <n v="800482"/>
    <x v="251"/>
    <x v="0"/>
    <x v="7"/>
    <s v="Kolkata"/>
    <x v="2"/>
    <s v="Capital Cars"/>
    <s v="Tata Motors"/>
    <x v="0"/>
    <x v="0"/>
    <s v="XZ"/>
    <x v="1"/>
    <n v="2"/>
    <n v="750000"/>
    <n v="759216.23"/>
    <n v="5"/>
    <n v="0"/>
    <n v="1518432.46"/>
    <n v="75921.62"/>
    <n v="1442510.84"/>
    <s v="Not achive"/>
  </r>
  <r>
    <n v="800216"/>
    <x v="252"/>
    <x v="0"/>
    <x v="1"/>
    <s v="Cuttack"/>
    <x v="4"/>
    <s v="Sai Service Tata"/>
    <s v="Tata Motors"/>
    <x v="2"/>
    <x v="9"/>
    <s v="Base"/>
    <x v="2"/>
    <n v="2"/>
    <n v="1000000"/>
    <n v="1002880.08"/>
    <n v="7.5"/>
    <n v="0"/>
    <n v="2005760.16"/>
    <n v="150432.01"/>
    <n v="1855328.15"/>
    <s v="Not achive"/>
  </r>
  <r>
    <n v="800276"/>
    <x v="252"/>
    <x v="1"/>
    <x v="8"/>
    <s v="Hubli"/>
    <x v="2"/>
    <s v="Sai Service Tata"/>
    <s v="Tata Motors"/>
    <x v="3"/>
    <x v="12"/>
    <s v="XZ+"/>
    <x v="7"/>
    <n v="1"/>
    <n v="1250000"/>
    <n v="1223880.1100000001"/>
    <n v="7.5"/>
    <n v="0"/>
    <n v="1223880.1100000001"/>
    <n v="91791.01"/>
    <n v="1132089.1000000001"/>
    <s v="Not achive"/>
  </r>
  <r>
    <n v="800524"/>
    <x v="252"/>
    <x v="3"/>
    <x v="9"/>
    <s v="Jodhpur"/>
    <x v="1"/>
    <s v="Capital Cars"/>
    <s v="Tata Motors"/>
    <x v="3"/>
    <x v="8"/>
    <s v="Creative"/>
    <x v="4"/>
    <n v="3"/>
    <n v="1500000"/>
    <n v="1506875.52"/>
    <n v="0"/>
    <n v="0"/>
    <n v="4520626.5599999996"/>
    <n v="0"/>
    <n v="4520626.5599999996"/>
    <s v="Achive"/>
  </r>
  <r>
    <n v="800204"/>
    <x v="253"/>
    <x v="1"/>
    <x v="5"/>
    <s v="Hyderabad"/>
    <x v="2"/>
    <s v="Om Sai Auto Hub"/>
    <s v="Tata Motors"/>
    <x v="0"/>
    <x v="13"/>
    <s v="Pure"/>
    <x v="0"/>
    <n v="1"/>
    <n v="1900000"/>
    <n v="1884523.38"/>
    <n v="0"/>
    <n v="0"/>
    <n v="1884523.38"/>
    <n v="0"/>
    <n v="1884523.38"/>
    <s v="Not achive"/>
  </r>
  <r>
    <n v="800361"/>
    <x v="253"/>
    <x v="1"/>
    <x v="8"/>
    <s v="Mysuru"/>
    <x v="1"/>
    <s v="Om Sai Auto Hub"/>
    <s v="Tata Motors"/>
    <x v="0"/>
    <x v="0"/>
    <s v="XZ"/>
    <x v="9"/>
    <n v="3"/>
    <n v="750000"/>
    <n v="727897.19"/>
    <n v="2"/>
    <n v="0"/>
    <n v="2183691.5699999998"/>
    <n v="43673.83"/>
    <n v="2140017.7400000002"/>
    <s v="Achive"/>
  </r>
  <r>
    <n v="800624"/>
    <x v="253"/>
    <x v="3"/>
    <x v="6"/>
    <s v="Surat"/>
    <x v="0"/>
    <s v="Capital Cars"/>
    <s v="Tata Motors"/>
    <x v="3"/>
    <x v="5"/>
    <s v="Empowered"/>
    <x v="7"/>
    <n v="2"/>
    <n v="1200000"/>
    <n v="1169413.3400000001"/>
    <n v="10"/>
    <n v="0"/>
    <n v="2338826.6800000002"/>
    <n v="233882.67"/>
    <n v="2104944.0099999998"/>
    <s v="Achive"/>
  </r>
  <r>
    <n v="800498"/>
    <x v="254"/>
    <x v="2"/>
    <x v="4"/>
    <s v="Gurugram"/>
    <x v="4"/>
    <s v="Capital Cars"/>
    <s v="Tata Motors"/>
    <x v="0"/>
    <x v="0"/>
    <s v="XE"/>
    <x v="3"/>
    <n v="1"/>
    <n v="750000"/>
    <n v="759429.2"/>
    <n v="5"/>
    <n v="0"/>
    <n v="759429.2"/>
    <n v="37971.46"/>
    <n v="721457.74"/>
    <s v="Not achive"/>
  </r>
  <r>
    <n v="800197"/>
    <x v="255"/>
    <x v="2"/>
    <x v="11"/>
    <s v="Dwarka"/>
    <x v="3"/>
    <s v="Reliance Trishakti"/>
    <s v="Tata Motors"/>
    <x v="0"/>
    <x v="6"/>
    <s v="Pure"/>
    <x v="4"/>
    <n v="1"/>
    <n v="700000"/>
    <n v="686655.19"/>
    <n v="12.5"/>
    <n v="0"/>
    <n v="686655.19"/>
    <n v="85831.9"/>
    <n v="600823.29"/>
    <s v="Not achive"/>
  </r>
  <r>
    <n v="800290"/>
    <x v="256"/>
    <x v="1"/>
    <x v="2"/>
    <s v="Chennai"/>
    <x v="0"/>
    <s v="Om Sai Auto Hub"/>
    <s v="Tata Motors"/>
    <x v="3"/>
    <x v="8"/>
    <s v="Empowered"/>
    <x v="9"/>
    <n v="2"/>
    <n v="1500000"/>
    <n v="1493976.61"/>
    <n v="0"/>
    <n v="0"/>
    <n v="2987953.22"/>
    <n v="0"/>
    <n v="2987953.22"/>
    <s v="Achive"/>
  </r>
  <r>
    <n v="800080"/>
    <x v="257"/>
    <x v="2"/>
    <x v="12"/>
    <s v="Ludhiana"/>
    <x v="4"/>
    <s v="National Tata Dealership"/>
    <s v="Tata Motors"/>
    <x v="0"/>
    <x v="13"/>
    <s v="Pure"/>
    <x v="2"/>
    <n v="2"/>
    <n v="1900000"/>
    <n v="1923972.43"/>
    <n v="10"/>
    <n v="0"/>
    <n v="3847944.86"/>
    <n v="384794.49"/>
    <n v="3463150.37"/>
    <s v="Achive"/>
  </r>
  <r>
    <n v="800342"/>
    <x v="257"/>
    <x v="3"/>
    <x v="10"/>
    <s v="Nashik"/>
    <x v="4"/>
    <s v="Landmark Motors"/>
    <s v="Tata Motors"/>
    <x v="0"/>
    <x v="10"/>
    <s v="Creative"/>
    <x v="4"/>
    <n v="1"/>
    <n v="950000"/>
    <n v="928800.91"/>
    <n v="7.5"/>
    <n v="0"/>
    <n v="928800.91"/>
    <n v="69660.070000000007"/>
    <n v="859140.84"/>
    <s v="Not achive"/>
  </r>
  <r>
    <n v="800591"/>
    <x v="257"/>
    <x v="3"/>
    <x v="9"/>
    <s v="Jodhpur"/>
    <x v="3"/>
    <s v="Reliance Trishakti"/>
    <s v="Tata Motors"/>
    <x v="2"/>
    <x v="2"/>
    <s v="AC Cabin"/>
    <x v="5"/>
    <n v="6"/>
    <n v="800000"/>
    <n v="797308.77"/>
    <n v="10"/>
    <n v="0"/>
    <n v="4783852.62"/>
    <n v="478385.26"/>
    <n v="4305467.3600000003"/>
    <s v="Achive"/>
  </r>
  <r>
    <n v="800115"/>
    <x v="258"/>
    <x v="1"/>
    <x v="8"/>
    <s v="Hubli"/>
    <x v="2"/>
    <s v="Statesman Cars"/>
    <s v="Tata Motors"/>
    <x v="3"/>
    <x v="5"/>
    <s v="Smart"/>
    <x v="4"/>
    <n v="3"/>
    <n v="1200000"/>
    <n v="1173172.19"/>
    <n v="0"/>
    <n v="0"/>
    <n v="3519516.57"/>
    <n v="0"/>
    <n v="3519516.57"/>
    <s v="Achive"/>
  </r>
  <r>
    <n v="800590"/>
    <x v="258"/>
    <x v="1"/>
    <x v="5"/>
    <s v="Warangal"/>
    <x v="3"/>
    <s v="Metro Tata Motors"/>
    <s v="Tata Motors"/>
    <x v="3"/>
    <x v="8"/>
    <s v="Fearless"/>
    <x v="7"/>
    <n v="3"/>
    <n v="1500000"/>
    <n v="1488992.15"/>
    <n v="0"/>
    <n v="0"/>
    <n v="4466976.45"/>
    <n v="0"/>
    <n v="4466976.45"/>
    <s v="Achive"/>
  </r>
  <r>
    <n v="800359"/>
    <x v="259"/>
    <x v="1"/>
    <x v="8"/>
    <s v="Bengaluru"/>
    <x v="3"/>
    <s v="Sunrise Tata Showroom"/>
    <s v="Tata Motors"/>
    <x v="0"/>
    <x v="13"/>
    <s v="Accomplished+"/>
    <x v="2"/>
    <n v="3"/>
    <n v="1900000"/>
    <n v="1850163"/>
    <n v="0"/>
    <n v="0"/>
    <n v="5550489"/>
    <n v="0"/>
    <n v="5550489"/>
    <s v="Achive"/>
  </r>
  <r>
    <n v="800530"/>
    <x v="259"/>
    <x v="0"/>
    <x v="0"/>
    <s v="Gaya"/>
    <x v="3"/>
    <s v="Prerna Automobiles"/>
    <s v="Tata Motors"/>
    <x v="2"/>
    <x v="9"/>
    <s v="CX"/>
    <x v="4"/>
    <n v="4"/>
    <n v="1000000"/>
    <n v="988674.25"/>
    <n v="12.5"/>
    <n v="0"/>
    <n v="3954697"/>
    <n v="494337.12"/>
    <n v="3460359.88"/>
    <s v="Achive"/>
  </r>
  <r>
    <n v="800601"/>
    <x v="259"/>
    <x v="2"/>
    <x v="12"/>
    <s v="Ludhiana"/>
    <x v="4"/>
    <s v="Concorde Tata"/>
    <s v="Tata Motors"/>
    <x v="2"/>
    <x v="9"/>
    <s v="Base"/>
    <x v="5"/>
    <n v="2"/>
    <n v="1000000"/>
    <n v="1012970.84"/>
    <n v="0"/>
    <n v="0"/>
    <n v="2025941.68"/>
    <n v="0"/>
    <n v="2025941.68"/>
    <s v="Achive"/>
  </r>
  <r>
    <n v="800081"/>
    <x v="260"/>
    <x v="0"/>
    <x v="1"/>
    <s v="Cuttack"/>
    <x v="1"/>
    <s v="Concorde Tata"/>
    <s v="Tata Motors"/>
    <x v="0"/>
    <x v="6"/>
    <s v="Creative+"/>
    <x v="5"/>
    <n v="1"/>
    <n v="700000"/>
    <n v="705136.82"/>
    <n v="10"/>
    <n v="0"/>
    <n v="705136.82"/>
    <n v="70513.679999999993"/>
    <n v="634623.14"/>
    <s v="Not achive"/>
  </r>
  <r>
    <n v="800378"/>
    <x v="261"/>
    <x v="3"/>
    <x v="10"/>
    <s v="Nagpur"/>
    <x v="1"/>
    <s v="Metro Tata Motors"/>
    <s v="Tata Motors"/>
    <x v="1"/>
    <x v="1"/>
    <s v="CNG"/>
    <x v="3"/>
    <n v="5"/>
    <n v="550000"/>
    <n v="552669.07999999996"/>
    <n v="0"/>
    <n v="0"/>
    <n v="2763345.4"/>
    <n v="0"/>
    <n v="2763345.4"/>
    <s v="Achive"/>
  </r>
  <r>
    <n v="800587"/>
    <x v="261"/>
    <x v="3"/>
    <x v="6"/>
    <s v="Surat"/>
    <x v="1"/>
    <s v="Reliance Trishakti"/>
    <s v="Tata Motors"/>
    <x v="0"/>
    <x v="10"/>
    <s v="Smart"/>
    <x v="7"/>
    <n v="2"/>
    <n v="950000"/>
    <n v="938758.38"/>
    <n v="10"/>
    <n v="0"/>
    <n v="1877516.76"/>
    <n v="187751.67999999999"/>
    <n v="1689765.08"/>
    <s v="Not achive"/>
  </r>
  <r>
    <n v="800090"/>
    <x v="262"/>
    <x v="0"/>
    <x v="1"/>
    <s v="Bhubaneswar"/>
    <x v="2"/>
    <s v="Metro Tata Motors"/>
    <s v="Tata Motors"/>
    <x v="0"/>
    <x v="14"/>
    <s v="XT"/>
    <x v="3"/>
    <n v="1"/>
    <n v="650000"/>
    <n v="645280.55000000005"/>
    <n v="5"/>
    <n v="0"/>
    <n v="645280.55000000005"/>
    <n v="32264.03"/>
    <n v="613016.52"/>
    <s v="Not achive"/>
  </r>
  <r>
    <n v="800413"/>
    <x v="262"/>
    <x v="3"/>
    <x v="6"/>
    <s v="Surat"/>
    <x v="4"/>
    <s v="Big Wheels Auto"/>
    <s v="Tata Motors"/>
    <x v="0"/>
    <x v="4"/>
    <s v="XZ+"/>
    <x v="0"/>
    <n v="3"/>
    <n v="800000"/>
    <n v="813496.84"/>
    <n v="0"/>
    <n v="0"/>
    <n v="2440490.52"/>
    <n v="0"/>
    <n v="2440490.52"/>
    <s v="Achive"/>
  </r>
  <r>
    <n v="800503"/>
    <x v="262"/>
    <x v="0"/>
    <x v="0"/>
    <s v="Gaya"/>
    <x v="0"/>
    <s v="Metro Tata Motors"/>
    <s v="Tata Motors"/>
    <x v="0"/>
    <x v="7"/>
    <s v="Pure"/>
    <x v="3"/>
    <n v="3"/>
    <n v="1700000"/>
    <n v="1730249.01"/>
    <n v="0"/>
    <n v="0"/>
    <n v="5190747.03"/>
    <n v="0"/>
    <n v="5190747.03"/>
    <s v="Achive"/>
  </r>
  <r>
    <n v="800506"/>
    <x v="262"/>
    <x v="0"/>
    <x v="7"/>
    <s v="Kolkata"/>
    <x v="4"/>
    <s v="Sunrise Tata Showroom"/>
    <s v="Tata Motors"/>
    <x v="0"/>
    <x v="6"/>
    <s v="Pure"/>
    <x v="0"/>
    <n v="3"/>
    <n v="700000"/>
    <n v="682217.94"/>
    <n v="2"/>
    <n v="0"/>
    <n v="2046653.82"/>
    <n v="40933.08"/>
    <n v="2005720.74"/>
    <s v="Achive"/>
  </r>
  <r>
    <n v="800006"/>
    <x v="263"/>
    <x v="3"/>
    <x v="9"/>
    <s v="Jodhpur"/>
    <x v="2"/>
    <s v="National Tata Dealership"/>
    <s v="Tata Motors"/>
    <x v="0"/>
    <x v="7"/>
    <s v="Smart"/>
    <x v="3"/>
    <n v="3"/>
    <n v="1700000"/>
    <n v="1669808.93"/>
    <n v="12.5"/>
    <n v="0"/>
    <n v="5009426.79"/>
    <n v="626178.35"/>
    <n v="4383248.4400000004"/>
    <s v="Achive"/>
  </r>
  <r>
    <n v="800176"/>
    <x v="263"/>
    <x v="3"/>
    <x v="10"/>
    <s v="Nashik"/>
    <x v="2"/>
    <s v="Capital Cars"/>
    <s v="Tata Motors"/>
    <x v="3"/>
    <x v="5"/>
    <s v="Smart"/>
    <x v="6"/>
    <n v="3"/>
    <n v="1200000"/>
    <n v="1194151.23"/>
    <n v="5"/>
    <n v="0"/>
    <n v="3582453.69"/>
    <n v="179122.68"/>
    <n v="3403331.01"/>
    <s v="Achive"/>
  </r>
  <r>
    <n v="800555"/>
    <x v="263"/>
    <x v="2"/>
    <x v="3"/>
    <s v="Kanpur"/>
    <x v="4"/>
    <s v="Capital Cars"/>
    <s v="Tata Motors"/>
    <x v="2"/>
    <x v="2"/>
    <s v="AC Cabin"/>
    <x v="2"/>
    <n v="5"/>
    <n v="800000"/>
    <n v="806244.56"/>
    <n v="0"/>
    <n v="1"/>
    <n v="4031222.8"/>
    <n v="0"/>
    <n v="4031222.8"/>
    <s v="Achive"/>
  </r>
  <r>
    <n v="800557"/>
    <x v="263"/>
    <x v="2"/>
    <x v="4"/>
    <s v="Hisar"/>
    <x v="0"/>
    <s v="Om Sai Auto Hub"/>
    <s v="Tata Motors"/>
    <x v="0"/>
    <x v="13"/>
    <s v="Pure"/>
    <x v="8"/>
    <n v="1"/>
    <n v="1900000"/>
    <n v="1918165.86"/>
    <n v="0"/>
    <n v="0"/>
    <n v="1918165.86"/>
    <n v="0"/>
    <n v="1918165.86"/>
    <s v="Not achive"/>
  </r>
  <r>
    <n v="800150"/>
    <x v="264"/>
    <x v="3"/>
    <x v="10"/>
    <s v="Nashik"/>
    <x v="1"/>
    <s v="Sai Service Tata"/>
    <s v="Tata Motors"/>
    <x v="2"/>
    <x v="9"/>
    <s v="CX"/>
    <x v="7"/>
    <n v="1"/>
    <n v="1000000"/>
    <n v="1011261.81"/>
    <n v="0"/>
    <n v="0"/>
    <n v="1011261.81"/>
    <n v="0"/>
    <n v="1011261.81"/>
    <s v="Not achive"/>
  </r>
  <r>
    <n v="800576"/>
    <x v="265"/>
    <x v="1"/>
    <x v="8"/>
    <s v="Bengaluru"/>
    <x v="0"/>
    <s v="Concorde Tata"/>
    <s v="Tata Motors"/>
    <x v="0"/>
    <x v="6"/>
    <s v="Adventure"/>
    <x v="1"/>
    <n v="2"/>
    <n v="700000"/>
    <n v="705768.6"/>
    <n v="5"/>
    <n v="0"/>
    <n v="1411537.2"/>
    <n v="70576.86"/>
    <n v="1340960.3400000001"/>
    <s v="Not achive"/>
  </r>
  <r>
    <n v="800454"/>
    <x v="266"/>
    <x v="0"/>
    <x v="7"/>
    <s v="Howrah"/>
    <x v="0"/>
    <s v="Statesman Cars"/>
    <s v="Tata Motors"/>
    <x v="3"/>
    <x v="8"/>
    <s v="Fearless"/>
    <x v="7"/>
    <n v="1"/>
    <n v="1500000"/>
    <n v="1506746.47"/>
    <n v="0"/>
    <n v="0"/>
    <n v="1506746.47"/>
    <n v="0"/>
    <n v="1506746.47"/>
    <s v="Not achive"/>
  </r>
  <r>
    <n v="800352"/>
    <x v="267"/>
    <x v="2"/>
    <x v="12"/>
    <s v="Amritsar"/>
    <x v="1"/>
    <s v="Prerna Automobiles"/>
    <s v="Tata Motors"/>
    <x v="0"/>
    <x v="4"/>
    <s v="XZ+"/>
    <x v="6"/>
    <n v="3"/>
    <n v="800000"/>
    <n v="787799.14"/>
    <n v="0"/>
    <n v="0"/>
    <n v="2363397.42"/>
    <n v="0"/>
    <n v="2363397.42"/>
    <s v="Achive"/>
  </r>
  <r>
    <n v="800513"/>
    <x v="267"/>
    <x v="0"/>
    <x v="1"/>
    <s v="Bhubaneswar"/>
    <x v="2"/>
    <s v="National Tata Dealership"/>
    <s v="Tata Motors"/>
    <x v="3"/>
    <x v="11"/>
    <s v="Accomplished"/>
    <x v="9"/>
    <n v="3"/>
    <n v="1800000"/>
    <n v="1773254.53"/>
    <n v="0"/>
    <n v="0"/>
    <n v="5319763.59"/>
    <n v="0"/>
    <n v="5319763.59"/>
    <s v="Achive"/>
  </r>
  <r>
    <n v="800584"/>
    <x v="267"/>
    <x v="1"/>
    <x v="2"/>
    <s v="Coimbatore"/>
    <x v="0"/>
    <s v="Concorde Tata"/>
    <s v="Tata Motors"/>
    <x v="3"/>
    <x v="8"/>
    <s v="Fearless"/>
    <x v="9"/>
    <n v="2"/>
    <n v="1500000"/>
    <n v="1481345.19"/>
    <n v="2"/>
    <n v="0"/>
    <n v="2962690.38"/>
    <n v="59253.81"/>
    <n v="2903436.57"/>
    <s v="Achive"/>
  </r>
  <r>
    <n v="800606"/>
    <x v="267"/>
    <x v="2"/>
    <x v="12"/>
    <s v="Ludhiana"/>
    <x v="3"/>
    <s v="Metro Tata Motors"/>
    <s v="Tata Motors"/>
    <x v="2"/>
    <x v="9"/>
    <s v="CX"/>
    <x v="7"/>
    <n v="2"/>
    <n v="1000000"/>
    <n v="971036.73"/>
    <n v="0"/>
    <n v="0"/>
    <n v="1942073.46"/>
    <n v="0"/>
    <n v="1942073.46"/>
    <s v="Not achive"/>
  </r>
  <r>
    <n v="800200"/>
    <x v="268"/>
    <x v="0"/>
    <x v="0"/>
    <s v="Gaya"/>
    <x v="0"/>
    <s v="Capital Cars"/>
    <s v="Tata Motors"/>
    <x v="3"/>
    <x v="12"/>
    <s v="XE"/>
    <x v="8"/>
    <n v="2"/>
    <n v="1250000"/>
    <n v="1255252.6000000001"/>
    <n v="0"/>
    <n v="0"/>
    <n v="2510505.2000000002"/>
    <n v="0"/>
    <n v="2510505.2000000002"/>
    <s v="Achive"/>
  </r>
  <r>
    <n v="800322"/>
    <x v="268"/>
    <x v="1"/>
    <x v="13"/>
    <s v="Kochi"/>
    <x v="2"/>
    <s v="Metro Tata Motors"/>
    <s v="Tata Motors"/>
    <x v="3"/>
    <x v="8"/>
    <s v="Fearless"/>
    <x v="5"/>
    <n v="2"/>
    <n v="1500000"/>
    <n v="1506742.68"/>
    <n v="12.5"/>
    <n v="0"/>
    <n v="3013485.36"/>
    <n v="376685.67"/>
    <n v="2636799.69"/>
    <s v="Achive"/>
  </r>
  <r>
    <n v="800344"/>
    <x v="268"/>
    <x v="0"/>
    <x v="0"/>
    <s v="Gaya"/>
    <x v="3"/>
    <s v="Prerna Automobiles"/>
    <s v="Tata Motors"/>
    <x v="0"/>
    <x v="7"/>
    <s v="Pure"/>
    <x v="9"/>
    <n v="2"/>
    <n v="1700000"/>
    <n v="1673953.82"/>
    <n v="12.5"/>
    <n v="0"/>
    <n v="3347907.64"/>
    <n v="418488.46"/>
    <n v="2929419.18"/>
    <s v="Achive"/>
  </r>
  <r>
    <n v="800518"/>
    <x v="268"/>
    <x v="3"/>
    <x v="9"/>
    <s v="Jaipur"/>
    <x v="2"/>
    <s v="Landmark Motors"/>
    <s v="Tata Motors"/>
    <x v="0"/>
    <x v="13"/>
    <s v="Smart"/>
    <x v="1"/>
    <n v="3"/>
    <n v="1900000"/>
    <n v="1844810.99"/>
    <n v="0"/>
    <n v="0"/>
    <n v="5534432.9699999997"/>
    <n v="0"/>
    <n v="5534432.9699999997"/>
    <s v="Achive"/>
  </r>
  <r>
    <n v="800648"/>
    <x v="268"/>
    <x v="1"/>
    <x v="13"/>
    <s v="Thiruvananthapuram"/>
    <x v="2"/>
    <s v="Sunrise Tata Showroom"/>
    <s v="Tata Motors"/>
    <x v="2"/>
    <x v="9"/>
    <s v="Base"/>
    <x v="6"/>
    <n v="4"/>
    <n v="1000000"/>
    <n v="1002193.97"/>
    <n v="12.5"/>
    <n v="0"/>
    <n v="4008775.88"/>
    <n v="501096.98"/>
    <n v="3507678.9"/>
    <s v="Achive"/>
  </r>
  <r>
    <n v="800346"/>
    <x v="269"/>
    <x v="0"/>
    <x v="7"/>
    <s v="Howrah"/>
    <x v="2"/>
    <s v="Om Sai Auto Hub"/>
    <s v="Tata Motors"/>
    <x v="2"/>
    <x v="2"/>
    <s v="AC Cabin"/>
    <x v="3"/>
    <n v="5"/>
    <n v="800000"/>
    <n v="793822.28"/>
    <n v="0"/>
    <n v="0"/>
    <n v="3969111.4"/>
    <n v="0"/>
    <n v="3969111.4"/>
    <s v="Achive"/>
  </r>
  <r>
    <n v="800435"/>
    <x v="269"/>
    <x v="0"/>
    <x v="7"/>
    <s v="Kolkata"/>
    <x v="0"/>
    <s v="Om Sai Auto Hub"/>
    <s v="Tata Motors"/>
    <x v="3"/>
    <x v="8"/>
    <s v="Empowered"/>
    <x v="4"/>
    <n v="1"/>
    <n v="1500000"/>
    <n v="1491069.19"/>
    <n v="2"/>
    <n v="0"/>
    <n v="1491069.19"/>
    <n v="29821.38"/>
    <n v="1461247.81"/>
    <s v="Not achive"/>
  </r>
  <r>
    <n v="800026"/>
    <x v="270"/>
    <x v="1"/>
    <x v="8"/>
    <s v="Mysuru"/>
    <x v="2"/>
    <s v="Prerna Automobiles"/>
    <s v="Tata Motors"/>
    <x v="0"/>
    <x v="10"/>
    <s v="Creative"/>
    <x v="4"/>
    <n v="2"/>
    <n v="950000"/>
    <n v="961102.89"/>
    <n v="5"/>
    <n v="0"/>
    <n v="1922205.78"/>
    <n v="96110.29"/>
    <n v="1826095.49"/>
    <s v="Not achive"/>
  </r>
  <r>
    <n v="800229"/>
    <x v="270"/>
    <x v="2"/>
    <x v="4"/>
    <s v="Hisar"/>
    <x v="1"/>
    <s v="Landmark Motors"/>
    <s v="Tata Motors"/>
    <x v="1"/>
    <x v="1"/>
    <s v="CNG"/>
    <x v="3"/>
    <n v="2"/>
    <n v="550000"/>
    <n v="560718.82999999996"/>
    <n v="0"/>
    <n v="0"/>
    <n v="1121437.6599999999"/>
    <n v="0"/>
    <n v="1121437.6599999999"/>
    <s v="Not achive"/>
  </r>
  <r>
    <n v="800314"/>
    <x v="270"/>
    <x v="3"/>
    <x v="10"/>
    <s v="Pune"/>
    <x v="2"/>
    <s v="Metro Tata Motors"/>
    <s v="Tata Motors"/>
    <x v="2"/>
    <x v="9"/>
    <s v="CX"/>
    <x v="3"/>
    <n v="5"/>
    <n v="1000000"/>
    <n v="972429.35"/>
    <n v="0"/>
    <n v="0"/>
    <n v="4862146.75"/>
    <n v="0"/>
    <n v="4862146.75"/>
    <s v="Achive"/>
  </r>
  <r>
    <n v="800121"/>
    <x v="271"/>
    <x v="0"/>
    <x v="7"/>
    <s v="Howrah"/>
    <x v="1"/>
    <s v="Statesman Cars"/>
    <s v="Tata Motors"/>
    <x v="0"/>
    <x v="10"/>
    <s v="Smart"/>
    <x v="7"/>
    <n v="3"/>
    <n v="950000"/>
    <n v="928217.85"/>
    <n v="7.5"/>
    <n v="0"/>
    <n v="2784653.55"/>
    <n v="208849.02"/>
    <n v="2575804.5299999998"/>
    <s v="Achive"/>
  </r>
  <r>
    <n v="800303"/>
    <x v="271"/>
    <x v="1"/>
    <x v="8"/>
    <s v="Hubli"/>
    <x v="1"/>
    <s v="Prerna Automobiles"/>
    <s v="Tata Motors"/>
    <x v="2"/>
    <x v="9"/>
    <s v="Base"/>
    <x v="7"/>
    <n v="4"/>
    <n v="1000000"/>
    <n v="1003026.52"/>
    <n v="0"/>
    <n v="0"/>
    <n v="4012106.08"/>
    <n v="0"/>
    <n v="4012106.08"/>
    <s v="Achive"/>
  </r>
  <r>
    <n v="800105"/>
    <x v="272"/>
    <x v="2"/>
    <x v="4"/>
    <s v="Hisar"/>
    <x v="2"/>
    <s v="Sunrise Tata Showroom"/>
    <s v="Tata Motors"/>
    <x v="3"/>
    <x v="12"/>
    <s v="XE"/>
    <x v="6"/>
    <n v="3"/>
    <n v="1250000"/>
    <n v="1273409.1599999999"/>
    <n v="0"/>
    <n v="0"/>
    <n v="3820227.48"/>
    <n v="0"/>
    <n v="3820227.48"/>
    <s v="Achive"/>
  </r>
  <r>
    <n v="800333"/>
    <x v="272"/>
    <x v="2"/>
    <x v="12"/>
    <s v="Jalandhar"/>
    <x v="0"/>
    <s v="Om Sai Auto Hub"/>
    <s v="Tata Motors"/>
    <x v="1"/>
    <x v="1"/>
    <s v="Base"/>
    <x v="7"/>
    <n v="2"/>
    <n v="550000"/>
    <n v="553588.6"/>
    <n v="0"/>
    <n v="0"/>
    <n v="1107177.2"/>
    <n v="0"/>
    <n v="1107177.2"/>
    <s v="Not achive"/>
  </r>
  <r>
    <n v="800637"/>
    <x v="272"/>
    <x v="2"/>
    <x v="3"/>
    <s v="Agra"/>
    <x v="3"/>
    <s v="Capital Cars"/>
    <s v="Tata Motors"/>
    <x v="0"/>
    <x v="10"/>
    <s v="Creative"/>
    <x v="8"/>
    <n v="3"/>
    <n v="950000"/>
    <n v="931935.86"/>
    <n v="7.5"/>
    <n v="0"/>
    <n v="2795807.58"/>
    <n v="209685.57"/>
    <n v="2586122.0099999998"/>
    <s v="Achive"/>
  </r>
  <r>
    <n v="800475"/>
    <x v="273"/>
    <x v="0"/>
    <x v="7"/>
    <s v="Kolkata"/>
    <x v="2"/>
    <s v="Sunrise Tata Showroom"/>
    <s v="Tata Motors"/>
    <x v="2"/>
    <x v="9"/>
    <s v="Base"/>
    <x v="7"/>
    <n v="1"/>
    <n v="1000000"/>
    <n v="986664.49"/>
    <n v="0"/>
    <n v="0"/>
    <n v="986664.49"/>
    <n v="0"/>
    <n v="986664.49"/>
    <s v="Not achive"/>
  </r>
  <r>
    <n v="800283"/>
    <x v="274"/>
    <x v="3"/>
    <x v="10"/>
    <s v="Nagpur"/>
    <x v="0"/>
    <s v="National Tata Dealership"/>
    <s v="Tata Motors"/>
    <x v="3"/>
    <x v="11"/>
    <s v="Accomplished"/>
    <x v="4"/>
    <n v="1"/>
    <n v="1800000"/>
    <n v="1778474.6"/>
    <n v="10"/>
    <n v="0"/>
    <n v="1778474.6"/>
    <n v="177847.46"/>
    <n v="1600627.14"/>
    <s v="Not achive"/>
  </r>
  <r>
    <n v="800351"/>
    <x v="274"/>
    <x v="2"/>
    <x v="11"/>
    <s v="Dwarka"/>
    <x v="1"/>
    <s v="Concorde Tata"/>
    <s v="Tata Motors"/>
    <x v="3"/>
    <x v="5"/>
    <s v="Empowered"/>
    <x v="5"/>
    <n v="3"/>
    <n v="1200000"/>
    <n v="1169190.31"/>
    <n v="12.5"/>
    <n v="0"/>
    <n v="3507570.93"/>
    <n v="438446.37"/>
    <n v="3069124.56"/>
    <s v="Achive"/>
  </r>
  <r>
    <n v="800441"/>
    <x v="274"/>
    <x v="2"/>
    <x v="4"/>
    <s v="Faridabad"/>
    <x v="2"/>
    <s v="Sunrise Tata Showroom"/>
    <s v="Tata Motors"/>
    <x v="0"/>
    <x v="6"/>
    <s v="Creative+"/>
    <x v="7"/>
    <n v="2"/>
    <n v="700000"/>
    <n v="680857.98"/>
    <n v="0"/>
    <n v="0"/>
    <n v="1361715.96"/>
    <n v="0"/>
    <n v="1361715.96"/>
    <s v="Not achive"/>
  </r>
  <r>
    <n v="800627"/>
    <x v="274"/>
    <x v="0"/>
    <x v="7"/>
    <s v="Kolkata"/>
    <x v="1"/>
    <s v="Concorde Tata"/>
    <s v="Tata Motors"/>
    <x v="2"/>
    <x v="9"/>
    <s v="Base"/>
    <x v="3"/>
    <n v="1"/>
    <n v="1000000"/>
    <n v="995532.58"/>
    <n v="10"/>
    <n v="0"/>
    <n v="995532.58"/>
    <n v="99553.26"/>
    <n v="895979.32"/>
    <s v="Not achive"/>
  </r>
  <r>
    <n v="800038"/>
    <x v="275"/>
    <x v="1"/>
    <x v="5"/>
    <s v="Warangal"/>
    <x v="0"/>
    <s v="Reliance Trishakti"/>
    <s v="Tata Motors"/>
    <x v="0"/>
    <x v="6"/>
    <s v="Creative+"/>
    <x v="1"/>
    <n v="3"/>
    <n v="700000"/>
    <n v="684939.2"/>
    <n v="0"/>
    <n v="0"/>
    <n v="2054817.6"/>
    <n v="0"/>
    <n v="2054817.6"/>
    <s v="Achive"/>
  </r>
  <r>
    <n v="800325"/>
    <x v="275"/>
    <x v="3"/>
    <x v="9"/>
    <s v="Jodhpur"/>
    <x v="1"/>
    <s v="Om Sai Auto Hub"/>
    <s v="Tata Motors"/>
    <x v="0"/>
    <x v="13"/>
    <s v="Accomplished+"/>
    <x v="7"/>
    <n v="1"/>
    <n v="1900000"/>
    <n v="1884120.55"/>
    <n v="2"/>
    <n v="0"/>
    <n v="1884120.55"/>
    <n v="37682.410000000003"/>
    <n v="1846438.14"/>
    <s v="Not achive"/>
  </r>
  <r>
    <n v="800440"/>
    <x v="275"/>
    <x v="3"/>
    <x v="10"/>
    <s v="Nashik"/>
    <x v="1"/>
    <s v="Sunrise Tata Showroom"/>
    <s v="Tata Motors"/>
    <x v="3"/>
    <x v="11"/>
    <s v="Accomplished"/>
    <x v="7"/>
    <n v="3"/>
    <n v="1800000"/>
    <n v="1835307.19"/>
    <n v="0"/>
    <n v="0"/>
    <n v="5505921.5700000003"/>
    <n v="0"/>
    <n v="5505921.5700000003"/>
    <s v="Achive"/>
  </r>
  <r>
    <n v="800599"/>
    <x v="275"/>
    <x v="3"/>
    <x v="6"/>
    <s v="Vadodara"/>
    <x v="4"/>
    <s v="Capital Cars"/>
    <s v="Tata Motors"/>
    <x v="0"/>
    <x v="13"/>
    <s v="Pure"/>
    <x v="5"/>
    <n v="1"/>
    <n v="1900000"/>
    <n v="1904312.77"/>
    <n v="0"/>
    <n v="0"/>
    <n v="1904312.77"/>
    <n v="0"/>
    <n v="1904312.77"/>
    <s v="Not achive"/>
  </r>
  <r>
    <n v="800354"/>
    <x v="276"/>
    <x v="3"/>
    <x v="6"/>
    <s v="Ahmedabad"/>
    <x v="1"/>
    <s v="Statesman Cars"/>
    <s v="Tata Motors"/>
    <x v="0"/>
    <x v="4"/>
    <s v="XE"/>
    <x v="8"/>
    <n v="3"/>
    <n v="800000"/>
    <n v="809389.93"/>
    <n v="2"/>
    <n v="0"/>
    <n v="2428169.79"/>
    <n v="48563.4"/>
    <n v="2379606.39"/>
    <s v="Achive"/>
  </r>
  <r>
    <n v="800068"/>
    <x v="277"/>
    <x v="2"/>
    <x v="12"/>
    <s v="Jalandhar"/>
    <x v="4"/>
    <s v="National Tata Dealership"/>
    <s v="Tata Motors"/>
    <x v="3"/>
    <x v="5"/>
    <s v="Smart"/>
    <x v="2"/>
    <n v="1"/>
    <n v="1200000"/>
    <n v="1221714.67"/>
    <n v="0"/>
    <n v="0"/>
    <n v="1221714.67"/>
    <n v="0"/>
    <n v="1221714.67"/>
    <s v="Not achive"/>
  </r>
  <r>
    <n v="800397"/>
    <x v="277"/>
    <x v="2"/>
    <x v="4"/>
    <s v="Faridabad"/>
    <x v="1"/>
    <s v="National Tata Dealership"/>
    <s v="Tata Motors"/>
    <x v="0"/>
    <x v="7"/>
    <s v="Fearless+"/>
    <x v="3"/>
    <n v="1"/>
    <n v="1700000"/>
    <n v="1732246.72"/>
    <n v="5"/>
    <n v="0"/>
    <n v="1732246.72"/>
    <n v="86612.34"/>
    <n v="1645634.38"/>
    <s v="Not achive"/>
  </r>
  <r>
    <n v="800433"/>
    <x v="277"/>
    <x v="2"/>
    <x v="12"/>
    <s v="Amritsar"/>
    <x v="4"/>
    <s v="Om Sai Auto Hub"/>
    <s v="Tata Motors"/>
    <x v="0"/>
    <x v="14"/>
    <s v="XT"/>
    <x v="3"/>
    <n v="3"/>
    <n v="650000"/>
    <n v="635361.35"/>
    <n v="2"/>
    <n v="0"/>
    <n v="1906084.05"/>
    <n v="38121.68"/>
    <n v="1867962.37"/>
    <s v="Not achive"/>
  </r>
  <r>
    <n v="800338"/>
    <x v="278"/>
    <x v="1"/>
    <x v="13"/>
    <s v="Kochi"/>
    <x v="2"/>
    <s v="Sai Service Tata"/>
    <s v="Tata Motors"/>
    <x v="1"/>
    <x v="1"/>
    <s v="CNG"/>
    <x v="8"/>
    <n v="5"/>
    <n v="550000"/>
    <n v="534388.43000000005"/>
    <n v="12.5"/>
    <n v="0"/>
    <n v="2671942.15"/>
    <n v="333992.77"/>
    <n v="2337949.38"/>
    <s v="Achive"/>
  </r>
  <r>
    <n v="800478"/>
    <x v="278"/>
    <x v="1"/>
    <x v="8"/>
    <s v="Hubli"/>
    <x v="2"/>
    <s v="Sunrise Tata Showroom"/>
    <s v="Tata Motors"/>
    <x v="3"/>
    <x v="12"/>
    <s v="XZ+"/>
    <x v="3"/>
    <n v="2"/>
    <n v="1250000"/>
    <n v="1215670.3899999999"/>
    <n v="0"/>
    <n v="0"/>
    <n v="2431340.7799999998"/>
    <n v="0"/>
    <n v="2431340.7799999998"/>
    <s v="Achive"/>
  </r>
  <r>
    <n v="800528"/>
    <x v="279"/>
    <x v="3"/>
    <x v="10"/>
    <s v="Nagpur"/>
    <x v="0"/>
    <s v="Om Sai Auto Hub"/>
    <s v="Tata Motors"/>
    <x v="0"/>
    <x v="0"/>
    <s v="XE"/>
    <x v="8"/>
    <n v="3"/>
    <n v="750000"/>
    <n v="744180.78"/>
    <n v="7.5"/>
    <n v="0"/>
    <n v="2232542.34"/>
    <n v="167440.68"/>
    <n v="2065101.66"/>
    <s v="Achive"/>
  </r>
  <r>
    <n v="800574"/>
    <x v="279"/>
    <x v="3"/>
    <x v="10"/>
    <s v="Pune"/>
    <x v="4"/>
    <s v="Statesman Cars"/>
    <s v="Tata Motors"/>
    <x v="0"/>
    <x v="14"/>
    <s v="XZ+"/>
    <x v="1"/>
    <n v="3"/>
    <n v="650000"/>
    <n v="633918.09"/>
    <n v="12.5"/>
    <n v="0"/>
    <n v="1901754.27"/>
    <n v="237719.28"/>
    <n v="1664034.99"/>
    <s v="Not achive"/>
  </r>
  <r>
    <n v="800324"/>
    <x v="280"/>
    <x v="1"/>
    <x v="2"/>
    <s v="Chennai"/>
    <x v="0"/>
    <s v="Capital Cars"/>
    <s v="Tata Motors"/>
    <x v="0"/>
    <x v="0"/>
    <s v="XZ"/>
    <x v="1"/>
    <n v="1"/>
    <n v="750000"/>
    <n v="729875.1"/>
    <n v="7.5"/>
    <n v="0"/>
    <n v="729875.1"/>
    <n v="54740.63"/>
    <n v="675134.47"/>
    <s v="Not achive"/>
  </r>
  <r>
    <n v="800578"/>
    <x v="280"/>
    <x v="0"/>
    <x v="0"/>
    <s v="Patna"/>
    <x v="2"/>
    <s v="Concorde Tata"/>
    <s v="Tata Motors"/>
    <x v="0"/>
    <x v="13"/>
    <s v="Smart"/>
    <x v="2"/>
    <n v="2"/>
    <n v="1900000"/>
    <n v="1907420.21"/>
    <n v="0"/>
    <n v="0"/>
    <n v="3814840.42"/>
    <n v="0"/>
    <n v="3814840.42"/>
    <s v="Achive"/>
  </r>
  <r>
    <n v="800292"/>
    <x v="281"/>
    <x v="0"/>
    <x v="7"/>
    <s v="Howrah"/>
    <x v="0"/>
    <s v="National Tata Dealership"/>
    <s v="Tata Motors"/>
    <x v="3"/>
    <x v="12"/>
    <s v="XZ+"/>
    <x v="0"/>
    <n v="1"/>
    <n v="1250000"/>
    <n v="1229713.3799999999"/>
    <n v="0"/>
    <n v="0"/>
    <n v="1229713.3799999999"/>
    <n v="0"/>
    <n v="1229713.3799999999"/>
    <s v="Not achive"/>
  </r>
  <r>
    <n v="800647"/>
    <x v="281"/>
    <x v="0"/>
    <x v="0"/>
    <s v="Gaya"/>
    <x v="2"/>
    <s v="Reliance Trishakti"/>
    <s v="Tata Motors"/>
    <x v="2"/>
    <x v="9"/>
    <s v="Base"/>
    <x v="7"/>
    <n v="1"/>
    <n v="1000000"/>
    <n v="1018886.65"/>
    <n v="5"/>
    <n v="0"/>
    <n v="1018886.65"/>
    <n v="50944.33"/>
    <n v="967942.32"/>
    <s v="Not achive"/>
  </r>
  <r>
    <n v="800245"/>
    <x v="282"/>
    <x v="3"/>
    <x v="6"/>
    <s v="Ahmedabad"/>
    <x v="1"/>
    <s v="Concorde Tata"/>
    <s v="Tata Motors"/>
    <x v="3"/>
    <x v="11"/>
    <s v="Creative"/>
    <x v="9"/>
    <n v="2"/>
    <n v="1800000"/>
    <n v="1757878.46"/>
    <n v="10"/>
    <n v="0"/>
    <n v="3515756.92"/>
    <n v="351575.69"/>
    <n v="3164181.23"/>
    <s v="Achive"/>
  </r>
  <r>
    <n v="800299"/>
    <x v="282"/>
    <x v="2"/>
    <x v="3"/>
    <s v="Kanpur"/>
    <x v="3"/>
    <s v="Reliance Trishakti"/>
    <s v="Tata Motors"/>
    <x v="0"/>
    <x v="6"/>
    <s v="Creative+"/>
    <x v="8"/>
    <n v="2"/>
    <n v="700000"/>
    <n v="701805.56"/>
    <n v="0"/>
    <n v="0"/>
    <n v="1403611.12"/>
    <n v="0"/>
    <n v="1403611.12"/>
    <s v="Not achive"/>
  </r>
  <r>
    <n v="800543"/>
    <x v="282"/>
    <x v="2"/>
    <x v="3"/>
    <s v="Agra"/>
    <x v="2"/>
    <s v="Sai Service Tata"/>
    <s v="Tata Motors"/>
    <x v="0"/>
    <x v="4"/>
    <s v="XM"/>
    <x v="4"/>
    <n v="1"/>
    <n v="800000"/>
    <n v="796827.51"/>
    <n v="0"/>
    <n v="0"/>
    <n v="796827.51"/>
    <n v="0"/>
    <n v="796827.51"/>
    <s v="Not achive"/>
  </r>
  <r>
    <n v="800151"/>
    <x v="283"/>
    <x v="1"/>
    <x v="8"/>
    <s v="Bengaluru"/>
    <x v="0"/>
    <s v="National Tata Dealership"/>
    <s v="Tata Motors"/>
    <x v="0"/>
    <x v="7"/>
    <s v="Smart"/>
    <x v="1"/>
    <n v="3"/>
    <n v="1700000"/>
    <n v="1695374.09"/>
    <n v="5"/>
    <n v="0"/>
    <n v="5086122.2699999996"/>
    <n v="254306.11"/>
    <n v="4831816.16"/>
    <s v="Achive"/>
  </r>
  <r>
    <n v="800505"/>
    <x v="283"/>
    <x v="3"/>
    <x v="9"/>
    <s v="Jodhpur"/>
    <x v="3"/>
    <s v="Big Wheels Auto"/>
    <s v="Tata Motors"/>
    <x v="3"/>
    <x v="11"/>
    <s v="Creative"/>
    <x v="0"/>
    <n v="1"/>
    <n v="1800000"/>
    <n v="1747076.53"/>
    <n v="0"/>
    <n v="0"/>
    <n v="1747076.53"/>
    <n v="0"/>
    <n v="1747076.53"/>
    <s v="Not achive"/>
  </r>
  <r>
    <n v="800520"/>
    <x v="283"/>
    <x v="2"/>
    <x v="12"/>
    <s v="Jalandhar"/>
    <x v="1"/>
    <s v="Prerna Automobiles"/>
    <s v="Tata Motors"/>
    <x v="0"/>
    <x v="0"/>
    <s v="XE"/>
    <x v="6"/>
    <n v="2"/>
    <n v="750000"/>
    <n v="757932.04"/>
    <n v="10"/>
    <n v="0"/>
    <n v="1515864.08"/>
    <n v="151586.41"/>
    <n v="1364277.67"/>
    <s v="Not achive"/>
  </r>
  <r>
    <n v="800610"/>
    <x v="283"/>
    <x v="0"/>
    <x v="0"/>
    <s v="Gaya"/>
    <x v="3"/>
    <s v="Landmark Motors"/>
    <s v="Tata Motors"/>
    <x v="3"/>
    <x v="5"/>
    <s v="Adventure"/>
    <x v="8"/>
    <n v="3"/>
    <n v="1200000"/>
    <n v="1191058.6000000001"/>
    <n v="2"/>
    <n v="0"/>
    <n v="3573175.8"/>
    <n v="71463.520000000004"/>
    <n v="3501712.28"/>
    <s v="Achive"/>
  </r>
  <r>
    <n v="800315"/>
    <x v="284"/>
    <x v="2"/>
    <x v="11"/>
    <s v="New Delhi"/>
    <x v="0"/>
    <s v="Capital Cars"/>
    <s v="Tata Motors"/>
    <x v="3"/>
    <x v="8"/>
    <s v="Creative"/>
    <x v="3"/>
    <n v="2"/>
    <n v="1500000"/>
    <n v="1490579.73"/>
    <n v="0"/>
    <n v="0"/>
    <n v="2981159.46"/>
    <n v="0"/>
    <n v="2981159.46"/>
    <s v="Achive"/>
  </r>
  <r>
    <n v="800275"/>
    <x v="285"/>
    <x v="0"/>
    <x v="1"/>
    <s v="Bhubaneswar"/>
    <x v="4"/>
    <s v="Statesman Cars"/>
    <s v="Tata Motors"/>
    <x v="0"/>
    <x v="13"/>
    <s v="Accomplished+"/>
    <x v="7"/>
    <n v="2"/>
    <n v="1900000"/>
    <n v="1864207.54"/>
    <n v="0"/>
    <n v="0"/>
    <n v="3728415.08"/>
    <n v="0"/>
    <n v="3728415.08"/>
    <s v="Achive"/>
  </r>
  <r>
    <n v="800464"/>
    <x v="285"/>
    <x v="2"/>
    <x v="4"/>
    <s v="Hisar"/>
    <x v="1"/>
    <s v="Metro Tata Motors"/>
    <s v="Tata Motors"/>
    <x v="3"/>
    <x v="11"/>
    <s v="Creative"/>
    <x v="8"/>
    <n v="3"/>
    <n v="1800000"/>
    <n v="1751236.61"/>
    <n v="0"/>
    <n v="0"/>
    <n v="5253709.83"/>
    <n v="0"/>
    <n v="5253709.83"/>
    <s v="Achive"/>
  </r>
  <r>
    <n v="800014"/>
    <x v="286"/>
    <x v="3"/>
    <x v="10"/>
    <s v="Nashik"/>
    <x v="0"/>
    <s v="Om Sai Auto Hub"/>
    <s v="Tata Motors"/>
    <x v="0"/>
    <x v="4"/>
    <s v="XM"/>
    <x v="3"/>
    <n v="3"/>
    <n v="800000"/>
    <n v="792925.52"/>
    <n v="2"/>
    <n v="0"/>
    <n v="2378776.56"/>
    <n v="47575.53"/>
    <n v="2331201.0299999998"/>
    <s v="Achive"/>
  </r>
  <r>
    <n v="800243"/>
    <x v="286"/>
    <x v="1"/>
    <x v="8"/>
    <s v="Hubli"/>
    <x v="4"/>
    <s v="Reliance Trishakti"/>
    <s v="Tata Motors"/>
    <x v="0"/>
    <x v="0"/>
    <s v="XE"/>
    <x v="3"/>
    <n v="3"/>
    <n v="750000"/>
    <n v="750000.3"/>
    <n v="5"/>
    <n v="0"/>
    <n v="2250000.9"/>
    <n v="112500.04"/>
    <n v="2137500.86"/>
    <s v="Achive"/>
  </r>
  <r>
    <n v="800641"/>
    <x v="286"/>
    <x v="3"/>
    <x v="10"/>
    <s v="Nashik"/>
    <x v="3"/>
    <s v="Capital Cars"/>
    <s v="Tata Motors"/>
    <x v="3"/>
    <x v="5"/>
    <s v="Adventure"/>
    <x v="9"/>
    <n v="1"/>
    <n v="1200000"/>
    <n v="1210205.69"/>
    <n v="5"/>
    <n v="0"/>
    <n v="1210205.69"/>
    <n v="60510.28"/>
    <n v="1149695.4099999999"/>
    <s v="Not achive"/>
  </r>
  <r>
    <n v="800212"/>
    <x v="287"/>
    <x v="3"/>
    <x v="6"/>
    <s v="Surat"/>
    <x v="1"/>
    <s v="Sai Service Tata"/>
    <s v="Tata Motors"/>
    <x v="0"/>
    <x v="6"/>
    <s v="Adventure"/>
    <x v="9"/>
    <n v="1"/>
    <n v="700000"/>
    <n v="712760.11"/>
    <n v="7.5"/>
    <n v="0"/>
    <n v="712760.11"/>
    <n v="53457.01"/>
    <n v="659303.1"/>
    <s v="Not achive"/>
  </r>
  <r>
    <n v="800060"/>
    <x v="288"/>
    <x v="3"/>
    <x v="6"/>
    <s v="Vadodara"/>
    <x v="4"/>
    <s v="Landmark Motors"/>
    <s v="Tata Motors"/>
    <x v="0"/>
    <x v="13"/>
    <s v="Accomplished+"/>
    <x v="4"/>
    <n v="2"/>
    <n v="1900000"/>
    <n v="1847323.99"/>
    <n v="0"/>
    <n v="0"/>
    <n v="3694647.98"/>
    <n v="0"/>
    <n v="3694647.98"/>
    <s v="Achive"/>
  </r>
  <r>
    <n v="800085"/>
    <x v="289"/>
    <x v="1"/>
    <x v="5"/>
    <s v="Warangal"/>
    <x v="0"/>
    <s v="Sunrise Tata Showroom"/>
    <s v="Tata Motors"/>
    <x v="0"/>
    <x v="6"/>
    <s v="Adventure"/>
    <x v="1"/>
    <n v="1"/>
    <n v="700000"/>
    <n v="687302.2"/>
    <n v="7.5"/>
    <n v="0"/>
    <n v="687302.2"/>
    <n v="51547.67"/>
    <n v="635754.53"/>
    <s v="Not achive"/>
  </r>
  <r>
    <n v="800162"/>
    <x v="289"/>
    <x v="3"/>
    <x v="9"/>
    <s v="Jaipur"/>
    <x v="1"/>
    <s v="Capital Cars"/>
    <s v="Tata Motors"/>
    <x v="0"/>
    <x v="4"/>
    <s v="XZ+"/>
    <x v="7"/>
    <n v="2"/>
    <n v="800000"/>
    <n v="781911.03"/>
    <n v="2"/>
    <n v="1"/>
    <n v="1563822.06"/>
    <n v="31276.44"/>
    <n v="1532545.62"/>
    <s v="Not achive"/>
  </r>
  <r>
    <n v="800377"/>
    <x v="289"/>
    <x v="0"/>
    <x v="7"/>
    <s v="Howrah"/>
    <x v="1"/>
    <s v="Big Wheels Auto"/>
    <s v="Tata Motors"/>
    <x v="1"/>
    <x v="1"/>
    <s v="CNG"/>
    <x v="4"/>
    <n v="6"/>
    <n v="550000"/>
    <n v="536774.86"/>
    <n v="2"/>
    <n v="0"/>
    <n v="3220649.16"/>
    <n v="64412.98"/>
    <n v="3156236.18"/>
    <s v="Achive"/>
  </r>
  <r>
    <n v="800425"/>
    <x v="290"/>
    <x v="3"/>
    <x v="9"/>
    <s v="Jaipur"/>
    <x v="1"/>
    <s v="Reliance Trishakti"/>
    <s v="Tata Motors"/>
    <x v="0"/>
    <x v="4"/>
    <s v="XZ+"/>
    <x v="3"/>
    <n v="2"/>
    <n v="800000"/>
    <n v="805844.34"/>
    <n v="7.5"/>
    <n v="0"/>
    <n v="1611688.68"/>
    <n v="120876.65"/>
    <n v="1490812.03"/>
    <s v="Not achive"/>
  </r>
  <r>
    <n v="800004"/>
    <x v="291"/>
    <x v="1"/>
    <x v="2"/>
    <s v="Coimbatore"/>
    <x v="1"/>
    <s v="Concorde Tata"/>
    <s v="Tata Motors"/>
    <x v="2"/>
    <x v="9"/>
    <s v="CX"/>
    <x v="2"/>
    <n v="5"/>
    <n v="1000000"/>
    <n v="984658.91"/>
    <n v="7.5"/>
    <n v="0"/>
    <n v="4923294.55"/>
    <n v="369247.09"/>
    <n v="4554047.46"/>
    <s v="Achive"/>
  </r>
  <r>
    <n v="800165"/>
    <x v="291"/>
    <x v="1"/>
    <x v="13"/>
    <s v="Thiruvananthapuram"/>
    <x v="1"/>
    <s v="Capital Cars"/>
    <s v="Tata Motors"/>
    <x v="0"/>
    <x v="6"/>
    <s v="Pure"/>
    <x v="5"/>
    <n v="3"/>
    <n v="700000"/>
    <n v="689447.47"/>
    <n v="5"/>
    <n v="0"/>
    <n v="2068342.41"/>
    <n v="103417.12"/>
    <n v="1964925.29"/>
    <s v="Not achive"/>
  </r>
  <r>
    <n v="800296"/>
    <x v="291"/>
    <x v="0"/>
    <x v="0"/>
    <s v="Patna"/>
    <x v="3"/>
    <s v="Prerna Automobiles"/>
    <s v="Tata Motors"/>
    <x v="2"/>
    <x v="9"/>
    <s v="Base"/>
    <x v="0"/>
    <n v="2"/>
    <n v="1000000"/>
    <n v="971653.55"/>
    <n v="0"/>
    <n v="0"/>
    <n v="1943307.1"/>
    <n v="0"/>
    <n v="1943307.1"/>
    <s v="Not achive"/>
  </r>
  <r>
    <n v="800477"/>
    <x v="291"/>
    <x v="3"/>
    <x v="10"/>
    <s v="Pune"/>
    <x v="2"/>
    <s v="Landmark Motors"/>
    <s v="Tata Motors"/>
    <x v="3"/>
    <x v="12"/>
    <s v="XE"/>
    <x v="8"/>
    <n v="3"/>
    <n v="1250000"/>
    <n v="1234394.8799999999"/>
    <n v="7.5"/>
    <n v="0"/>
    <n v="3703184.64"/>
    <n v="277738.84999999998"/>
    <n v="3425445.79"/>
    <s v="Achive"/>
  </r>
  <r>
    <n v="800423"/>
    <x v="292"/>
    <x v="2"/>
    <x v="11"/>
    <s v="New Delhi"/>
    <x v="0"/>
    <s v="Concorde Tata"/>
    <s v="Tata Motors"/>
    <x v="0"/>
    <x v="3"/>
    <s v="Accomplished"/>
    <x v="0"/>
    <n v="2"/>
    <n v="1200000"/>
    <n v="1197481.19"/>
    <n v="10"/>
    <n v="0"/>
    <n v="2394962.38"/>
    <n v="239496.24"/>
    <n v="2155466.14"/>
    <s v="Achive"/>
  </r>
  <r>
    <n v="800570"/>
    <x v="292"/>
    <x v="2"/>
    <x v="11"/>
    <s v="New Delhi"/>
    <x v="3"/>
    <s v="Sunrise Tata Showroom"/>
    <s v="Tata Motors"/>
    <x v="0"/>
    <x v="4"/>
    <s v="XZ+"/>
    <x v="0"/>
    <n v="3"/>
    <n v="800000"/>
    <n v="779947.43"/>
    <n v="2"/>
    <n v="0"/>
    <n v="2339842.29"/>
    <n v="46796.85"/>
    <n v="2293045.44"/>
    <s v="Achive"/>
  </r>
  <r>
    <n v="800295"/>
    <x v="293"/>
    <x v="3"/>
    <x v="6"/>
    <s v="Vadodara"/>
    <x v="0"/>
    <s v="Sai Service Tata"/>
    <s v="Tata Motors"/>
    <x v="0"/>
    <x v="3"/>
    <s v="Accomplished"/>
    <x v="9"/>
    <n v="1"/>
    <n v="1200000"/>
    <n v="1194916.18"/>
    <n v="0"/>
    <n v="0"/>
    <n v="1194916.18"/>
    <n v="0"/>
    <n v="1194916.18"/>
    <s v="Not achive"/>
  </r>
  <r>
    <n v="800300"/>
    <x v="293"/>
    <x v="2"/>
    <x v="12"/>
    <s v="Amritsar"/>
    <x v="3"/>
    <s v="National Tata Dealership"/>
    <s v="Tata Motors"/>
    <x v="1"/>
    <x v="1"/>
    <s v="Base"/>
    <x v="8"/>
    <n v="3"/>
    <n v="550000"/>
    <n v="550229.46"/>
    <n v="5"/>
    <n v="0"/>
    <n v="1650688.38"/>
    <n v="82534.42"/>
    <n v="1568153.96"/>
    <s v="Not achive"/>
  </r>
  <r>
    <n v="800302"/>
    <x v="294"/>
    <x v="1"/>
    <x v="13"/>
    <s v="Thiruvananthapuram"/>
    <x v="2"/>
    <s v="Capital Cars"/>
    <s v="Tata Motors"/>
    <x v="0"/>
    <x v="0"/>
    <s v="XZ"/>
    <x v="5"/>
    <n v="3"/>
    <n v="750000"/>
    <n v="739692.64"/>
    <n v="5"/>
    <n v="0"/>
    <n v="2219077.92"/>
    <n v="110953.9"/>
    <n v="2108124.02"/>
    <s v="Achive"/>
  </r>
  <r>
    <n v="800489"/>
    <x v="294"/>
    <x v="1"/>
    <x v="2"/>
    <s v="Chennai"/>
    <x v="1"/>
    <s v="Big Wheels Auto"/>
    <s v="Tata Motors"/>
    <x v="0"/>
    <x v="0"/>
    <s v="XZ"/>
    <x v="0"/>
    <n v="1"/>
    <n v="750000"/>
    <n v="743689.33"/>
    <n v="10"/>
    <n v="0"/>
    <n v="743689.33"/>
    <n v="74368.929999999993"/>
    <n v="669320.4"/>
    <s v="Not ach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70BA5-5173-44F1-B144-CA400F6280BE}" name="PivotTable4" cacheId="0" dataOnRows="1"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location ref="A3:B8" firstHeaderRow="1" firstDataRow="1" firstDataCol="1"/>
  <pivotFields count="21">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dataField="1" compact="0" showAll="0" insertBlankRow="1" defaultSubtotal="0"/>
    <pivotField compact="0" showAll="0" insertBlankRow="1" defaultSubtotal="0"/>
    <pivotField compact="0" showAll="0" insertBlankRow="1" defaultSubtotal="0"/>
    <pivotField dataField="1" compact="0" showAll="0" insertBlankRow="1" defaultSubtotal="0"/>
    <pivotField dataField="1" compact="0" showAll="0" insertBlankRow="1" defaultSubtotal="0"/>
    <pivotField dataField="1" compact="0" showAll="0" insertBlankRow="1" defaultSubtotal="0">
      <items count="651">
        <item x="54"/>
        <item x="361"/>
        <item x="242"/>
        <item x="145"/>
        <item x="357"/>
        <item x="132"/>
        <item x="166"/>
        <item x="26"/>
        <item x="136"/>
        <item x="423"/>
        <item x="545"/>
        <item x="410"/>
        <item x="291"/>
        <item x="570"/>
        <item x="339"/>
        <item x="67"/>
        <item x="134"/>
        <item x="495"/>
        <item x="112"/>
        <item x="100"/>
        <item x="205"/>
        <item x="480"/>
        <item x="424"/>
        <item x="390"/>
        <item x="101"/>
        <item x="300"/>
        <item x="557"/>
        <item x="246"/>
        <item x="636"/>
        <item x="359"/>
        <item x="41"/>
        <item x="435"/>
        <item x="106"/>
        <item x="35"/>
        <item x="567"/>
        <item x="120"/>
        <item x="453"/>
        <item x="393"/>
        <item x="169"/>
        <item x="634"/>
        <item x="347"/>
        <item x="307"/>
        <item x="617"/>
        <item x="161"/>
        <item x="354"/>
        <item x="201"/>
        <item x="62"/>
        <item x="170"/>
        <item x="30"/>
        <item x="529"/>
        <item x="274"/>
        <item x="0"/>
        <item x="649"/>
        <item x="79"/>
        <item x="379"/>
        <item x="195"/>
        <item x="129"/>
        <item x="315"/>
        <item x="143"/>
        <item x="556"/>
        <item x="355"/>
        <item x="419"/>
        <item x="121"/>
        <item x="294"/>
        <item x="387"/>
        <item x="303"/>
        <item x="321"/>
        <item x="460"/>
        <item x="217"/>
        <item x="370"/>
        <item x="348"/>
        <item x="623"/>
        <item x="422"/>
        <item x="518"/>
        <item x="177"/>
        <item x="206"/>
        <item x="306"/>
        <item x="368"/>
        <item x="313"/>
        <item x="560"/>
        <item x="224"/>
        <item x="350"/>
        <item x="73"/>
        <item x="479"/>
        <item x="239"/>
        <item x="278"/>
        <item x="500"/>
        <item x="531"/>
        <item x="227"/>
        <item x="600"/>
        <item x="60"/>
        <item x="604"/>
        <item x="202"/>
        <item x="513"/>
        <item x="578"/>
        <item x="544"/>
        <item x="505"/>
        <item x="620"/>
        <item x="430"/>
        <item x="258"/>
        <item x="253"/>
        <item x="324"/>
        <item x="298"/>
        <item x="598"/>
        <item x="593"/>
        <item x="17"/>
        <item x="49"/>
        <item x="289"/>
        <item x="498"/>
        <item x="138"/>
        <item x="490"/>
        <item x="372"/>
        <item x="400"/>
        <item x="12"/>
        <item x="319"/>
        <item x="56"/>
        <item x="36"/>
        <item x="415"/>
        <item x="646"/>
        <item x="420"/>
        <item x="381"/>
        <item x="75"/>
        <item x="522"/>
        <item x="27"/>
        <item x="265"/>
        <item x="414"/>
        <item x="384"/>
        <item x="437"/>
        <item x="633"/>
        <item x="21"/>
        <item x="267"/>
        <item x="491"/>
        <item x="397"/>
        <item x="610"/>
        <item x="31"/>
        <item x="551"/>
        <item x="194"/>
        <item x="619"/>
        <item x="337"/>
        <item x="445"/>
        <item x="447"/>
        <item x="501"/>
        <item x="406"/>
        <item x="503"/>
        <item x="464"/>
        <item x="467"/>
        <item x="269"/>
        <item x="255"/>
        <item x="59"/>
        <item x="530"/>
        <item x="160"/>
        <item x="46"/>
        <item x="470"/>
        <item x="394"/>
        <item x="428"/>
        <item x="119"/>
        <item x="296"/>
        <item x="468"/>
        <item x="151"/>
        <item x="448"/>
        <item x="341"/>
        <item x="603"/>
        <item x="308"/>
        <item x="34"/>
        <item x="304"/>
        <item x="528"/>
        <item x="369"/>
        <item x="234"/>
        <item x="226"/>
        <item x="153"/>
        <item x="622"/>
        <item x="53"/>
        <item x="579"/>
        <item x="360"/>
        <item x="259"/>
        <item x="377"/>
        <item x="58"/>
        <item x="11"/>
        <item x="461"/>
        <item x="318"/>
        <item x="388"/>
        <item x="323"/>
        <item x="42"/>
        <item x="103"/>
        <item x="432"/>
        <item x="116"/>
        <item x="402"/>
        <item x="270"/>
        <item x="591"/>
        <item x="285"/>
        <item x="466"/>
        <item x="362"/>
        <item x="373"/>
        <item x="580"/>
        <item x="82"/>
        <item x="444"/>
        <item x="327"/>
        <item x="626"/>
        <item x="549"/>
        <item x="417"/>
        <item x="223"/>
        <item x="320"/>
        <item x="192"/>
        <item x="157"/>
        <item x="378"/>
        <item x="113"/>
        <item x="507"/>
        <item x="235"/>
        <item x="180"/>
        <item x="375"/>
        <item x="637"/>
        <item x="57"/>
        <item x="436"/>
        <item x="187"/>
        <item x="196"/>
        <item x="74"/>
        <item x="225"/>
        <item x="210"/>
        <item x="547"/>
        <item x="365"/>
        <item x="5"/>
        <item x="351"/>
        <item x="72"/>
        <item x="639"/>
        <item x="65"/>
        <item x="538"/>
        <item x="109"/>
        <item x="237"/>
        <item x="150"/>
        <item x="326"/>
        <item x="496"/>
        <item x="213"/>
        <item x="647"/>
        <item x="333"/>
        <item x="537"/>
        <item x="499"/>
        <item x="535"/>
        <item x="13"/>
        <item x="367"/>
        <item x="280"/>
        <item x="548"/>
        <item x="10"/>
        <item x="28"/>
        <item x="611"/>
        <item x="439"/>
        <item x="625"/>
        <item x="236"/>
        <item x="47"/>
        <item x="349"/>
        <item x="154"/>
        <item x="342"/>
        <item x="456"/>
        <item x="601"/>
        <item x="219"/>
        <item x="345"/>
        <item x="476"/>
        <item x="451"/>
        <item x="24"/>
        <item x="229"/>
        <item x="486"/>
        <item x="37"/>
        <item x="52"/>
        <item x="346"/>
        <item x="396"/>
        <item x="441"/>
        <item x="484"/>
        <item x="310"/>
        <item x="141"/>
        <item x="477"/>
        <item x="70"/>
        <item x="147"/>
        <item x="569"/>
        <item x="606"/>
        <item x="553"/>
        <item x="125"/>
        <item x="527"/>
        <item x="231"/>
        <item x="363"/>
        <item x="216"/>
        <item x="450"/>
        <item x="616"/>
        <item x="608"/>
        <item x="524"/>
        <item x="612"/>
        <item x="124"/>
        <item x="262"/>
        <item x="139"/>
        <item x="526"/>
        <item x="577"/>
        <item x="358"/>
        <item x="592"/>
        <item x="251"/>
        <item x="110"/>
        <item x="159"/>
        <item x="126"/>
        <item x="40"/>
        <item x="305"/>
        <item x="510"/>
        <item x="383"/>
        <item x="84"/>
        <item x="209"/>
        <item x="183"/>
        <item x="411"/>
        <item x="584"/>
        <item x="66"/>
        <item x="642"/>
        <item x="536"/>
        <item x="266"/>
        <item x="284"/>
        <item x="19"/>
        <item x="418"/>
        <item x="233"/>
        <item x="404"/>
        <item x="520"/>
        <item x="550"/>
        <item x="543"/>
        <item x="329"/>
        <item x="566"/>
        <item x="465"/>
        <item x="32"/>
        <item x="114"/>
        <item x="573"/>
        <item x="533"/>
        <item x="605"/>
        <item x="641"/>
        <item x="173"/>
        <item x="61"/>
        <item x="232"/>
        <item x="51"/>
        <item x="250"/>
        <item x="309"/>
        <item x="208"/>
        <item x="9"/>
        <item x="254"/>
        <item x="215"/>
        <item x="541"/>
        <item x="39"/>
        <item x="1"/>
        <item x="554"/>
        <item x="483"/>
        <item x="4"/>
        <item x="504"/>
        <item x="282"/>
        <item x="648"/>
        <item x="142"/>
        <item x="273"/>
        <item x="615"/>
        <item x="200"/>
        <item x="108"/>
        <item x="632"/>
        <item x="118"/>
        <item x="148"/>
        <item x="485"/>
        <item x="371"/>
        <item x="230"/>
        <item x="197"/>
        <item x="514"/>
        <item x="492"/>
        <item x="555"/>
        <item x="302"/>
        <item x="645"/>
        <item x="292"/>
        <item x="512"/>
        <item x="18"/>
        <item x="104"/>
        <item x="338"/>
        <item x="168"/>
        <item x="386"/>
        <item x="29"/>
        <item x="478"/>
        <item x="516"/>
        <item x="443"/>
        <item x="581"/>
        <item x="412"/>
        <item x="241"/>
        <item x="131"/>
        <item x="281"/>
        <item x="163"/>
        <item x="631"/>
        <item x="442"/>
        <item x="434"/>
        <item x="540"/>
        <item x="481"/>
        <item x="64"/>
        <item x="644"/>
        <item x="243"/>
        <item x="3"/>
        <item x="6"/>
        <item x="7"/>
        <item x="290"/>
        <item x="244"/>
        <item x="88"/>
        <item x="311"/>
        <item x="23"/>
        <item x="462"/>
        <item x="98"/>
        <item x="257"/>
        <item x="609"/>
        <item x="614"/>
        <item x="429"/>
        <item x="149"/>
        <item x="380"/>
        <item x="293"/>
        <item x="497"/>
        <item x="117"/>
        <item x="571"/>
        <item x="325"/>
        <item x="20"/>
        <item x="247"/>
        <item x="299"/>
        <item x="463"/>
        <item x="45"/>
        <item x="204"/>
        <item x="261"/>
        <item x="212"/>
        <item x="585"/>
        <item x="356"/>
        <item x="221"/>
        <item x="174"/>
        <item x="613"/>
        <item x="218"/>
        <item x="156"/>
        <item x="353"/>
        <item x="446"/>
        <item x="568"/>
        <item x="133"/>
        <item x="595"/>
        <item x="92"/>
        <item x="599"/>
        <item x="515"/>
        <item x="374"/>
        <item x="493"/>
        <item x="140"/>
        <item x="474"/>
        <item x="207"/>
        <item x="171"/>
        <item x="297"/>
        <item x="449"/>
        <item x="50"/>
        <item x="22"/>
        <item x="489"/>
        <item x="332"/>
        <item x="122"/>
        <item x="14"/>
        <item x="376"/>
        <item x="331"/>
        <item x="90"/>
        <item x="322"/>
        <item x="583"/>
        <item x="459"/>
        <item x="628"/>
        <item x="558"/>
        <item x="458"/>
        <item x="469"/>
        <item x="586"/>
        <item x="343"/>
        <item x="511"/>
        <item x="502"/>
        <item x="475"/>
        <item x="279"/>
        <item x="228"/>
        <item x="328"/>
        <item x="508"/>
        <item x="301"/>
        <item x="93"/>
        <item x="431"/>
        <item x="407"/>
        <item x="2"/>
        <item x="638"/>
        <item x="123"/>
        <item x="48"/>
        <item x="352"/>
        <item x="16"/>
        <item x="102"/>
        <item x="186"/>
        <item x="193"/>
        <item x="317"/>
        <item x="344"/>
        <item x="521"/>
        <item x="471"/>
        <item x="587"/>
        <item x="532"/>
        <item x="473"/>
        <item x="421"/>
        <item x="8"/>
        <item x="83"/>
        <item x="111"/>
        <item x="137"/>
        <item x="408"/>
        <item x="172"/>
        <item x="165"/>
        <item x="416"/>
        <item x="81"/>
        <item x="602"/>
        <item x="391"/>
        <item x="252"/>
        <item x="335"/>
        <item x="222"/>
        <item x="621"/>
        <item x="135"/>
        <item x="562"/>
        <item x="488"/>
        <item x="78"/>
        <item x="71"/>
        <item x="517"/>
        <item x="275"/>
        <item x="627"/>
        <item x="277"/>
        <item x="203"/>
        <item x="312"/>
        <item x="575"/>
        <item x="184"/>
        <item x="107"/>
        <item x="546"/>
        <item x="340"/>
        <item x="198"/>
        <item x="95"/>
        <item x="427"/>
        <item x="89"/>
        <item x="99"/>
        <item x="94"/>
        <item x="190"/>
        <item x="506"/>
        <item x="33"/>
        <item x="542"/>
        <item x="76"/>
        <item x="366"/>
        <item x="188"/>
        <item x="238"/>
        <item x="525"/>
        <item x="426"/>
        <item x="494"/>
        <item x="413"/>
        <item x="635"/>
        <item x="643"/>
        <item x="44"/>
        <item x="211"/>
        <item x="69"/>
        <item x="191"/>
        <item x="629"/>
        <item x="189"/>
        <item x="152"/>
        <item x="127"/>
        <item x="457"/>
        <item x="336"/>
        <item x="295"/>
        <item x="155"/>
        <item x="382"/>
        <item x="316"/>
        <item x="248"/>
        <item x="482"/>
        <item x="618"/>
        <item x="286"/>
        <item x="271"/>
        <item x="597"/>
        <item x="559"/>
        <item x="80"/>
        <item x="314"/>
        <item x="146"/>
        <item x="63"/>
        <item x="87"/>
        <item x="454"/>
        <item x="534"/>
        <item x="565"/>
        <item x="590"/>
        <item x="164"/>
        <item x="409"/>
        <item x="175"/>
        <item x="589"/>
        <item x="596"/>
        <item x="68"/>
        <item x="576"/>
        <item x="260"/>
        <item x="440"/>
        <item x="178"/>
        <item x="403"/>
        <item x="455"/>
        <item x="272"/>
        <item x="43"/>
        <item x="519"/>
        <item x="392"/>
        <item x="55"/>
        <item x="563"/>
        <item x="268"/>
        <item x="288"/>
        <item x="179"/>
        <item x="552"/>
        <item x="77"/>
        <item x="182"/>
        <item x="38"/>
        <item x="539"/>
        <item x="240"/>
        <item x="85"/>
        <item x="561"/>
        <item x="115"/>
        <item x="128"/>
        <item x="594"/>
        <item x="640"/>
        <item x="97"/>
        <item x="249"/>
        <item x="452"/>
        <item x="399"/>
        <item x="220"/>
        <item x="574"/>
        <item x="334"/>
        <item x="395"/>
        <item x="105"/>
        <item x="287"/>
        <item x="624"/>
        <item x="91"/>
        <item x="176"/>
        <item x="433"/>
        <item x="181"/>
        <item x="199"/>
        <item x="572"/>
        <item x="15"/>
        <item x="214"/>
        <item x="425"/>
        <item x="385"/>
        <item x="263"/>
        <item x="630"/>
        <item x="523"/>
        <item x="144"/>
        <item x="582"/>
        <item x="398"/>
        <item x="264"/>
        <item x="130"/>
        <item x="185"/>
        <item x="158"/>
        <item x="162"/>
        <item x="276"/>
        <item x="86"/>
        <item x="487"/>
        <item x="364"/>
        <item x="607"/>
        <item x="256"/>
        <item x="588"/>
        <item x="564"/>
        <item x="389"/>
        <item x="509"/>
        <item x="245"/>
        <item x="405"/>
        <item x="438"/>
        <item x="330"/>
        <item x="167"/>
        <item x="401"/>
        <item x="472"/>
        <item x="283"/>
        <item x="25"/>
        <item x="96"/>
        <item x="650"/>
      </items>
    </pivotField>
    <pivotField compact="0" showAll="0" insertBlankRow="1" defaultSubtotal="0"/>
    <pivotField dataField="1" compact="0" showAll="0" insertBlankRow="1" defaultSubtotal="0">
      <items count="651">
        <item x="54"/>
        <item x="132"/>
        <item x="361"/>
        <item x="145"/>
        <item x="357"/>
        <item x="242"/>
        <item x="166"/>
        <item x="26"/>
        <item x="134"/>
        <item x="112"/>
        <item x="480"/>
        <item x="291"/>
        <item x="423"/>
        <item x="557"/>
        <item x="570"/>
        <item x="495"/>
        <item x="100"/>
        <item x="390"/>
        <item x="101"/>
        <item x="136"/>
        <item x="106"/>
        <item x="339"/>
        <item x="567"/>
        <item x="545"/>
        <item x="636"/>
        <item x="410"/>
        <item x="435"/>
        <item x="300"/>
        <item x="67"/>
        <item x="35"/>
        <item x="393"/>
        <item x="205"/>
        <item x="424"/>
        <item x="634"/>
        <item x="649"/>
        <item x="379"/>
        <item x="617"/>
        <item x="129"/>
        <item x="62"/>
        <item x="246"/>
        <item x="359"/>
        <item x="41"/>
        <item x="201"/>
        <item x="169"/>
        <item x="120"/>
        <item x="453"/>
        <item x="303"/>
        <item x="321"/>
        <item x="79"/>
        <item x="217"/>
        <item x="307"/>
        <item x="161"/>
        <item x="556"/>
        <item x="170"/>
        <item x="306"/>
        <item x="529"/>
        <item x="347"/>
        <item x="354"/>
        <item x="370"/>
        <item x="30"/>
        <item x="195"/>
        <item x="419"/>
        <item x="274"/>
        <item x="121"/>
        <item x="0"/>
        <item x="315"/>
        <item x="143"/>
        <item x="518"/>
        <item x="355"/>
        <item x="460"/>
        <item x="294"/>
        <item x="387"/>
        <item x="177"/>
        <item x="348"/>
        <item x="623"/>
        <item x="422"/>
        <item x="206"/>
        <item x="368"/>
        <item x="350"/>
        <item x="278"/>
        <item x="560"/>
        <item x="224"/>
        <item x="73"/>
        <item x="604"/>
        <item x="202"/>
        <item x="313"/>
        <item x="239"/>
        <item x="531"/>
        <item x="430"/>
        <item x="479"/>
        <item x="500"/>
        <item x="505"/>
        <item x="620"/>
        <item x="227"/>
        <item x="513"/>
        <item x="600"/>
        <item x="253"/>
        <item x="60"/>
        <item x="544"/>
        <item x="578"/>
        <item x="36"/>
        <item x="324"/>
        <item x="490"/>
        <item x="415"/>
        <item x="298"/>
        <item x="501"/>
        <item x="258"/>
        <item x="255"/>
        <item x="598"/>
        <item x="49"/>
        <item x="406"/>
        <item x="384"/>
        <item x="593"/>
        <item x="530"/>
        <item x="551"/>
        <item x="420"/>
        <item x="381"/>
        <item x="160"/>
        <item x="151"/>
        <item x="17"/>
        <item x="633"/>
        <item x="470"/>
        <item x="269"/>
        <item x="56"/>
        <item x="59"/>
        <item x="394"/>
        <item x="289"/>
        <item x="498"/>
        <item x="138"/>
        <item x="372"/>
        <item x="400"/>
        <item x="12"/>
        <item x="319"/>
        <item x="27"/>
        <item x="265"/>
        <item x="646"/>
        <item x="267"/>
        <item x="491"/>
        <item x="75"/>
        <item x="522"/>
        <item x="414"/>
        <item x="337"/>
        <item x="437"/>
        <item x="21"/>
        <item x="234"/>
        <item x="503"/>
        <item x="397"/>
        <item x="226"/>
        <item x="610"/>
        <item x="153"/>
        <item x="464"/>
        <item x="31"/>
        <item x="194"/>
        <item x="619"/>
        <item x="308"/>
        <item x="445"/>
        <item x="447"/>
        <item x="467"/>
        <item x="119"/>
        <item x="46"/>
        <item x="428"/>
        <item x="296"/>
        <item x="468"/>
        <item x="448"/>
        <item x="341"/>
        <item x="327"/>
        <item x="579"/>
        <item x="58"/>
        <item x="461"/>
        <item x="377"/>
        <item x="388"/>
        <item x="113"/>
        <item x="603"/>
        <item x="626"/>
        <item x="187"/>
        <item x="34"/>
        <item x="225"/>
        <item x="210"/>
        <item x="304"/>
        <item x="285"/>
        <item x="528"/>
        <item x="362"/>
        <item x="369"/>
        <item x="360"/>
        <item x="323"/>
        <item x="103"/>
        <item x="82"/>
        <item x="622"/>
        <item x="53"/>
        <item x="74"/>
        <item x="259"/>
        <item x="11"/>
        <item x="365"/>
        <item x="42"/>
        <item x="549"/>
        <item x="223"/>
        <item x="320"/>
        <item x="157"/>
        <item x="270"/>
        <item x="318"/>
        <item x="591"/>
        <item x="326"/>
        <item x="432"/>
        <item x="116"/>
        <item x="402"/>
        <item x="444"/>
        <item x="639"/>
        <item x="548"/>
        <item x="538"/>
        <item x="466"/>
        <item x="192"/>
        <item x="547"/>
        <item x="373"/>
        <item x="580"/>
        <item x="72"/>
        <item x="417"/>
        <item x="496"/>
        <item x="378"/>
        <item x="637"/>
        <item x="47"/>
        <item x="349"/>
        <item x="507"/>
        <item x="235"/>
        <item x="180"/>
        <item x="439"/>
        <item x="375"/>
        <item x="5"/>
        <item x="57"/>
        <item x="436"/>
        <item x="647"/>
        <item x="196"/>
        <item x="367"/>
        <item x="150"/>
        <item x="601"/>
        <item x="351"/>
        <item x="65"/>
        <item x="109"/>
        <item x="280"/>
        <item x="499"/>
        <item x="237"/>
        <item x="310"/>
        <item x="70"/>
        <item x="611"/>
        <item x="13"/>
        <item x="213"/>
        <item x="333"/>
        <item x="537"/>
        <item x="236"/>
        <item x="616"/>
        <item x="262"/>
        <item x="346"/>
        <item x="345"/>
        <item x="535"/>
        <item x="441"/>
        <item x="154"/>
        <item x="342"/>
        <item x="141"/>
        <item x="477"/>
        <item x="569"/>
        <item x="28"/>
        <item x="266"/>
        <item x="219"/>
        <item x="10"/>
        <item x="139"/>
        <item x="396"/>
        <item x="418"/>
        <item x="251"/>
        <item x="147"/>
        <item x="625"/>
        <item x="231"/>
        <item x="456"/>
        <item x="526"/>
        <item x="126"/>
        <item x="383"/>
        <item x="533"/>
        <item x="363"/>
        <item x="476"/>
        <item x="451"/>
        <item x="524"/>
        <item x="37"/>
        <item x="24"/>
        <item x="592"/>
        <item x="40"/>
        <item x="229"/>
        <item x="305"/>
        <item x="486"/>
        <item x="114"/>
        <item x="183"/>
        <item x="66"/>
        <item x="606"/>
        <item x="52"/>
        <item x="550"/>
        <item x="484"/>
        <item x="612"/>
        <item x="553"/>
        <item x="125"/>
        <item x="510"/>
        <item x="527"/>
        <item x="216"/>
        <item x="450"/>
        <item x="608"/>
        <item x="124"/>
        <item x="9"/>
        <item x="4"/>
        <item x="329"/>
        <item x="577"/>
        <item x="358"/>
        <item x="284"/>
        <item x="110"/>
        <item x="159"/>
        <item x="84"/>
        <item x="209"/>
        <item x="465"/>
        <item x="520"/>
        <item x="411"/>
        <item x="584"/>
        <item x="642"/>
        <item x="536"/>
        <item x="142"/>
        <item x="19"/>
        <item x="641"/>
        <item x="233"/>
        <item x="404"/>
        <item x="118"/>
        <item x="148"/>
        <item x="250"/>
        <item x="573"/>
        <item x="39"/>
        <item x="543"/>
        <item x="483"/>
        <item x="566"/>
        <item x="504"/>
        <item x="541"/>
        <item x="32"/>
        <item x="51"/>
        <item x="514"/>
        <item x="302"/>
        <item x="512"/>
        <item x="605"/>
        <item x="615"/>
        <item x="412"/>
        <item x="200"/>
        <item x="173"/>
        <item x="61"/>
        <item x="254"/>
        <item x="232"/>
        <item x="540"/>
        <item x="197"/>
        <item x="309"/>
        <item x="208"/>
        <item x="555"/>
        <item x="292"/>
        <item x="648"/>
        <item x="244"/>
        <item x="230"/>
        <item x="338"/>
        <item x="386"/>
        <item x="215"/>
        <item x="108"/>
        <item x="632"/>
        <item x="554"/>
        <item x="644"/>
        <item x="3"/>
        <item x="45"/>
        <item x="7"/>
        <item x="168"/>
        <item x="1"/>
        <item x="29"/>
        <item x="497"/>
        <item x="282"/>
        <item x="243"/>
        <item x="174"/>
        <item x="371"/>
        <item x="273"/>
        <item x="98"/>
        <item x="241"/>
        <item x="163"/>
        <item x="356"/>
        <item x="485"/>
        <item x="481"/>
        <item x="6"/>
        <item x="645"/>
        <item x="18"/>
        <item x="462"/>
        <item x="261"/>
        <item x="257"/>
        <item x="478"/>
        <item x="443"/>
        <item x="149"/>
        <item x="20"/>
        <item x="631"/>
        <item x="434"/>
        <item x="492"/>
        <item x="613"/>
        <item x="104"/>
        <item x="516"/>
        <item x="581"/>
        <item x="131"/>
        <item x="281"/>
        <item x="212"/>
        <item x="609"/>
        <item x="442"/>
        <item x="64"/>
        <item x="290"/>
        <item x="88"/>
        <item x="311"/>
        <item x="23"/>
        <item x="299"/>
        <item x="614"/>
        <item x="429"/>
        <item x="380"/>
        <item x="293"/>
        <item x="117"/>
        <item x="571"/>
        <item x="325"/>
        <item x="374"/>
        <item x="247"/>
        <item x="463"/>
        <item x="204"/>
        <item x="221"/>
        <item x="585"/>
        <item x="446"/>
        <item x="14"/>
        <item x="207"/>
        <item x="595"/>
        <item x="92"/>
        <item x="599"/>
        <item x="353"/>
        <item x="218"/>
        <item x="586"/>
        <item x="133"/>
        <item x="502"/>
        <item x="22"/>
        <item x="459"/>
        <item x="475"/>
        <item x="156"/>
        <item x="449"/>
        <item x="515"/>
        <item x="328"/>
        <item x="568"/>
        <item x="469"/>
        <item x="376"/>
        <item x="297"/>
        <item x="50"/>
        <item x="493"/>
        <item x="140"/>
        <item x="474"/>
        <item x="171"/>
        <item x="193"/>
        <item x="489"/>
        <item x="332"/>
        <item x="279"/>
        <item x="122"/>
        <item x="471"/>
        <item x="583"/>
        <item x="301"/>
        <item x="587"/>
        <item x="421"/>
        <item x="331"/>
        <item x="90"/>
        <item x="322"/>
        <item x="628"/>
        <item x="558"/>
        <item x="123"/>
        <item x="172"/>
        <item x="458"/>
        <item x="93"/>
        <item x="343"/>
        <item x="511"/>
        <item x="317"/>
        <item x="521"/>
        <item x="602"/>
        <item x="252"/>
        <item x="48"/>
        <item x="508"/>
        <item x="102"/>
        <item x="517"/>
        <item x="228"/>
        <item x="198"/>
        <item x="638"/>
        <item x="621"/>
        <item x="94"/>
        <item x="352"/>
        <item x="431"/>
        <item x="8"/>
        <item x="76"/>
        <item x="71"/>
        <item x="407"/>
        <item x="111"/>
        <item x="2"/>
        <item x="107"/>
        <item x="16"/>
        <item x="211"/>
        <item x="186"/>
        <item x="152"/>
        <item x="81"/>
        <item x="238"/>
        <item x="525"/>
        <item x="83"/>
        <item x="344"/>
        <item x="248"/>
        <item x="482"/>
        <item x="532"/>
        <item x="473"/>
        <item x="506"/>
        <item x="78"/>
        <item x="33"/>
        <item x="137"/>
        <item x="314"/>
        <item x="426"/>
        <item x="494"/>
        <item x="408"/>
        <item x="575"/>
        <item x="165"/>
        <item x="643"/>
        <item x="89"/>
        <item x="335"/>
        <item x="222"/>
        <item x="416"/>
        <item x="565"/>
        <item x="559"/>
        <item x="336"/>
        <item x="146"/>
        <item x="275"/>
        <item x="627"/>
        <item x="155"/>
        <item x="203"/>
        <item x="589"/>
        <item x="391"/>
        <item x="135"/>
        <item x="562"/>
        <item x="488"/>
        <item x="95"/>
        <item x="189"/>
        <item x="127"/>
        <item x="190"/>
        <item x="277"/>
        <item x="80"/>
        <item x="312"/>
        <item x="184"/>
        <item x="188"/>
        <item x="546"/>
        <item x="340"/>
        <item x="295"/>
        <item x="63"/>
        <item x="382"/>
        <item x="427"/>
        <item x="316"/>
        <item x="99"/>
        <item x="69"/>
        <item x="542"/>
        <item x="366"/>
        <item x="413"/>
        <item x="635"/>
        <item x="44"/>
        <item x="68"/>
        <item x="191"/>
        <item x="629"/>
        <item x="260"/>
        <item x="271"/>
        <item x="454"/>
        <item x="457"/>
        <item x="618"/>
        <item x="286"/>
        <item x="597"/>
        <item x="455"/>
        <item x="272"/>
        <item x="43"/>
        <item x="164"/>
        <item x="409"/>
        <item x="87"/>
        <item x="268"/>
        <item x="534"/>
        <item x="590"/>
        <item x="38"/>
        <item x="175"/>
        <item x="55"/>
        <item x="596"/>
        <item x="576"/>
        <item x="403"/>
        <item x="440"/>
        <item x="178"/>
        <item x="539"/>
        <item x="128"/>
        <item x="561"/>
        <item x="574"/>
        <item x="85"/>
        <item x="395"/>
        <item x="519"/>
        <item x="77"/>
        <item x="182"/>
        <item x="392"/>
        <item x="563"/>
        <item x="288"/>
        <item x="179"/>
        <item x="552"/>
        <item x="15"/>
        <item x="640"/>
        <item x="249"/>
        <item x="263"/>
        <item x="240"/>
        <item x="399"/>
        <item x="158"/>
        <item x="91"/>
        <item x="115"/>
        <item x="624"/>
        <item x="594"/>
        <item x="523"/>
        <item x="86"/>
        <item x="220"/>
        <item x="364"/>
        <item x="214"/>
        <item x="97"/>
        <item x="287"/>
        <item x="452"/>
        <item x="334"/>
        <item x="438"/>
        <item x="105"/>
        <item x="401"/>
        <item x="176"/>
        <item x="433"/>
        <item x="181"/>
        <item x="509"/>
        <item x="199"/>
        <item x="572"/>
        <item x="425"/>
        <item x="398"/>
        <item x="385"/>
        <item x="630"/>
        <item x="162"/>
        <item x="144"/>
        <item x="582"/>
        <item x="264"/>
        <item x="130"/>
        <item x="185"/>
        <item x="276"/>
        <item x="487"/>
        <item x="389"/>
        <item x="96"/>
        <item x="330"/>
        <item x="607"/>
        <item x="256"/>
        <item x="588"/>
        <item x="564"/>
        <item x="245"/>
        <item x="405"/>
        <item x="167"/>
        <item x="472"/>
        <item x="283"/>
        <item x="25"/>
        <item x="650"/>
      </items>
    </pivotField>
    <pivotField compact="0" showAll="0" insertBlankRow="1" defaultSubtotal="0"/>
  </pivotFields>
  <rowFields count="1">
    <field x="-2"/>
  </rowFields>
  <rowItems count="5">
    <i>
      <x/>
    </i>
    <i i="1">
      <x v="1"/>
    </i>
    <i i="2">
      <x v="2"/>
    </i>
    <i i="3">
      <x v="3"/>
    </i>
    <i i="4">
      <x v="4"/>
    </i>
  </rowItems>
  <colItems count="1">
    <i/>
  </colItems>
  <dataFields count="5">
    <dataField name="Sum of Net Sales Value" fld="19" baseField="0" baseItem="0"/>
    <dataField name="Sum of Gross Sales Value" fld="17" baseField="0" baseItem="0"/>
    <dataField name="Sum of Discount %" fld="15" baseField="0" baseItem="0"/>
    <dataField name="Sum of Units Sold" fld="12" baseField="0" baseItem="0"/>
    <dataField name="Sum of Return Units" fld="16" baseField="0" baseItem="0"/>
  </dataFields>
  <pivotTableStyleInfo name="PivotStyleLight1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F1518-2BFE-43AD-B98B-C6C22B626053}"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3:B7" firstHeaderRow="1" firstDataRow="1" firstDataCol="1"/>
  <pivotFields count="21">
    <pivotField showAll="0"/>
    <pivotField showAll="0"/>
    <pivotField axis="axisRow" showAll="0">
      <items count="6">
        <item x="0"/>
        <item x="2"/>
        <item x="1"/>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52">
        <item x="54"/>
        <item x="132"/>
        <item x="361"/>
        <item x="145"/>
        <item x="357"/>
        <item x="242"/>
        <item x="166"/>
        <item x="26"/>
        <item x="134"/>
        <item x="112"/>
        <item x="480"/>
        <item x="291"/>
        <item x="423"/>
        <item x="557"/>
        <item x="570"/>
        <item x="495"/>
        <item x="100"/>
        <item x="390"/>
        <item x="101"/>
        <item x="136"/>
        <item x="106"/>
        <item x="339"/>
        <item x="567"/>
        <item x="545"/>
        <item x="636"/>
        <item x="410"/>
        <item x="435"/>
        <item x="300"/>
        <item x="67"/>
        <item x="35"/>
        <item x="393"/>
        <item x="205"/>
        <item x="424"/>
        <item x="634"/>
        <item x="649"/>
        <item x="379"/>
        <item x="617"/>
        <item x="129"/>
        <item x="62"/>
        <item x="246"/>
        <item x="359"/>
        <item x="41"/>
        <item x="201"/>
        <item x="169"/>
        <item x="120"/>
        <item x="453"/>
        <item x="303"/>
        <item x="321"/>
        <item x="79"/>
        <item x="217"/>
        <item x="307"/>
        <item x="161"/>
        <item x="556"/>
        <item x="170"/>
        <item x="306"/>
        <item x="529"/>
        <item x="347"/>
        <item x="354"/>
        <item x="370"/>
        <item x="30"/>
        <item x="195"/>
        <item x="419"/>
        <item x="274"/>
        <item x="121"/>
        <item x="0"/>
        <item x="315"/>
        <item x="143"/>
        <item x="518"/>
        <item x="355"/>
        <item x="460"/>
        <item x="294"/>
        <item x="387"/>
        <item x="177"/>
        <item x="348"/>
        <item x="623"/>
        <item x="422"/>
        <item x="206"/>
        <item x="368"/>
        <item x="350"/>
        <item x="278"/>
        <item x="560"/>
        <item x="224"/>
        <item x="73"/>
        <item x="604"/>
        <item x="202"/>
        <item x="313"/>
        <item x="239"/>
        <item x="531"/>
        <item x="430"/>
        <item x="479"/>
        <item x="500"/>
        <item x="505"/>
        <item x="620"/>
        <item x="227"/>
        <item x="513"/>
        <item x="600"/>
        <item x="253"/>
        <item x="60"/>
        <item x="544"/>
        <item x="578"/>
        <item x="36"/>
        <item x="324"/>
        <item x="490"/>
        <item x="415"/>
        <item x="298"/>
        <item x="501"/>
        <item x="258"/>
        <item x="255"/>
        <item x="598"/>
        <item x="49"/>
        <item x="406"/>
        <item x="384"/>
        <item x="593"/>
        <item x="530"/>
        <item x="551"/>
        <item x="420"/>
        <item x="381"/>
        <item x="160"/>
        <item x="151"/>
        <item x="17"/>
        <item x="633"/>
        <item x="470"/>
        <item x="269"/>
        <item x="56"/>
        <item x="59"/>
        <item x="394"/>
        <item x="289"/>
        <item x="498"/>
        <item x="138"/>
        <item x="372"/>
        <item x="400"/>
        <item x="12"/>
        <item x="319"/>
        <item x="27"/>
        <item x="265"/>
        <item x="646"/>
        <item x="267"/>
        <item x="491"/>
        <item x="75"/>
        <item x="522"/>
        <item x="414"/>
        <item x="337"/>
        <item x="437"/>
        <item x="21"/>
        <item x="234"/>
        <item x="503"/>
        <item x="397"/>
        <item x="226"/>
        <item x="610"/>
        <item x="153"/>
        <item x="464"/>
        <item x="31"/>
        <item x="194"/>
        <item x="619"/>
        <item x="308"/>
        <item x="445"/>
        <item x="447"/>
        <item x="467"/>
        <item x="119"/>
        <item x="46"/>
        <item x="428"/>
        <item x="296"/>
        <item x="468"/>
        <item x="448"/>
        <item x="341"/>
        <item x="327"/>
        <item x="579"/>
        <item x="58"/>
        <item x="461"/>
        <item x="377"/>
        <item x="388"/>
        <item x="113"/>
        <item x="603"/>
        <item x="626"/>
        <item x="187"/>
        <item x="34"/>
        <item x="225"/>
        <item x="210"/>
        <item x="304"/>
        <item x="285"/>
        <item x="528"/>
        <item x="362"/>
        <item x="369"/>
        <item x="360"/>
        <item x="323"/>
        <item x="103"/>
        <item x="82"/>
        <item x="622"/>
        <item x="53"/>
        <item x="74"/>
        <item x="259"/>
        <item x="11"/>
        <item x="365"/>
        <item x="42"/>
        <item x="549"/>
        <item x="223"/>
        <item x="320"/>
        <item x="157"/>
        <item x="270"/>
        <item x="318"/>
        <item x="591"/>
        <item x="326"/>
        <item x="432"/>
        <item x="116"/>
        <item x="402"/>
        <item x="444"/>
        <item x="639"/>
        <item x="548"/>
        <item x="538"/>
        <item x="466"/>
        <item x="192"/>
        <item x="547"/>
        <item x="373"/>
        <item x="580"/>
        <item x="72"/>
        <item x="417"/>
        <item x="496"/>
        <item x="378"/>
        <item x="637"/>
        <item x="47"/>
        <item x="349"/>
        <item x="507"/>
        <item x="235"/>
        <item x="180"/>
        <item x="439"/>
        <item x="375"/>
        <item x="5"/>
        <item x="57"/>
        <item x="436"/>
        <item x="647"/>
        <item x="196"/>
        <item x="367"/>
        <item x="150"/>
        <item x="601"/>
        <item x="351"/>
        <item x="65"/>
        <item x="109"/>
        <item x="280"/>
        <item x="499"/>
        <item x="237"/>
        <item x="310"/>
        <item x="70"/>
        <item x="611"/>
        <item x="13"/>
        <item x="213"/>
        <item x="333"/>
        <item x="537"/>
        <item x="236"/>
        <item x="616"/>
        <item x="262"/>
        <item x="346"/>
        <item x="345"/>
        <item x="535"/>
        <item x="441"/>
        <item x="154"/>
        <item x="342"/>
        <item x="141"/>
        <item x="477"/>
        <item x="569"/>
        <item x="28"/>
        <item x="266"/>
        <item x="219"/>
        <item x="10"/>
        <item x="139"/>
        <item x="396"/>
        <item x="418"/>
        <item x="251"/>
        <item x="147"/>
        <item x="625"/>
        <item x="231"/>
        <item x="456"/>
        <item x="526"/>
        <item x="126"/>
        <item x="383"/>
        <item x="533"/>
        <item x="363"/>
        <item x="476"/>
        <item x="451"/>
        <item x="524"/>
        <item x="37"/>
        <item x="24"/>
        <item x="592"/>
        <item x="40"/>
        <item x="229"/>
        <item x="305"/>
        <item x="486"/>
        <item x="114"/>
        <item x="183"/>
        <item x="66"/>
        <item x="606"/>
        <item x="52"/>
        <item x="550"/>
        <item x="484"/>
        <item x="612"/>
        <item x="553"/>
        <item x="125"/>
        <item x="510"/>
        <item x="527"/>
        <item x="216"/>
        <item x="450"/>
        <item x="608"/>
        <item x="124"/>
        <item x="9"/>
        <item x="4"/>
        <item x="329"/>
        <item x="577"/>
        <item x="358"/>
        <item x="284"/>
        <item x="110"/>
        <item x="159"/>
        <item x="84"/>
        <item x="209"/>
        <item x="465"/>
        <item x="520"/>
        <item x="411"/>
        <item x="584"/>
        <item x="642"/>
        <item x="536"/>
        <item x="142"/>
        <item x="19"/>
        <item x="641"/>
        <item x="233"/>
        <item x="404"/>
        <item x="118"/>
        <item x="148"/>
        <item x="250"/>
        <item x="573"/>
        <item x="39"/>
        <item x="543"/>
        <item x="483"/>
        <item x="566"/>
        <item x="504"/>
        <item x="541"/>
        <item x="32"/>
        <item x="51"/>
        <item x="514"/>
        <item x="302"/>
        <item x="512"/>
        <item x="605"/>
        <item x="615"/>
        <item x="412"/>
        <item x="200"/>
        <item x="173"/>
        <item x="61"/>
        <item x="254"/>
        <item x="232"/>
        <item x="540"/>
        <item x="197"/>
        <item x="309"/>
        <item x="208"/>
        <item x="555"/>
        <item x="292"/>
        <item x="648"/>
        <item x="244"/>
        <item x="230"/>
        <item x="338"/>
        <item x="386"/>
        <item x="215"/>
        <item x="108"/>
        <item x="632"/>
        <item x="554"/>
        <item x="644"/>
        <item x="3"/>
        <item x="45"/>
        <item x="7"/>
        <item x="168"/>
        <item x="1"/>
        <item x="29"/>
        <item x="497"/>
        <item x="282"/>
        <item x="243"/>
        <item x="174"/>
        <item x="371"/>
        <item x="273"/>
        <item x="98"/>
        <item x="241"/>
        <item x="163"/>
        <item x="356"/>
        <item x="485"/>
        <item x="481"/>
        <item x="6"/>
        <item x="645"/>
        <item x="18"/>
        <item x="462"/>
        <item x="261"/>
        <item x="257"/>
        <item x="478"/>
        <item x="443"/>
        <item x="149"/>
        <item x="20"/>
        <item x="631"/>
        <item x="434"/>
        <item x="492"/>
        <item x="613"/>
        <item x="104"/>
        <item x="516"/>
        <item x="581"/>
        <item x="131"/>
        <item x="281"/>
        <item x="212"/>
        <item x="609"/>
        <item x="442"/>
        <item x="64"/>
        <item x="290"/>
        <item x="88"/>
        <item x="311"/>
        <item x="23"/>
        <item x="299"/>
        <item x="614"/>
        <item x="429"/>
        <item x="380"/>
        <item x="293"/>
        <item x="117"/>
        <item x="571"/>
        <item x="325"/>
        <item x="374"/>
        <item x="247"/>
        <item x="463"/>
        <item x="204"/>
        <item x="221"/>
        <item x="585"/>
        <item x="446"/>
        <item x="14"/>
        <item x="207"/>
        <item x="595"/>
        <item x="92"/>
        <item x="599"/>
        <item x="353"/>
        <item x="218"/>
        <item x="586"/>
        <item x="133"/>
        <item x="502"/>
        <item x="22"/>
        <item x="459"/>
        <item x="475"/>
        <item x="156"/>
        <item x="449"/>
        <item x="515"/>
        <item x="328"/>
        <item x="568"/>
        <item x="469"/>
        <item x="376"/>
        <item x="297"/>
        <item x="50"/>
        <item x="493"/>
        <item x="140"/>
        <item x="474"/>
        <item x="171"/>
        <item x="193"/>
        <item x="489"/>
        <item x="332"/>
        <item x="279"/>
        <item x="122"/>
        <item x="471"/>
        <item x="583"/>
        <item x="301"/>
        <item x="587"/>
        <item x="421"/>
        <item x="331"/>
        <item x="90"/>
        <item x="322"/>
        <item x="628"/>
        <item x="558"/>
        <item x="123"/>
        <item x="172"/>
        <item x="458"/>
        <item x="93"/>
        <item x="343"/>
        <item x="511"/>
        <item x="317"/>
        <item x="521"/>
        <item x="602"/>
        <item x="252"/>
        <item x="48"/>
        <item x="508"/>
        <item x="102"/>
        <item x="517"/>
        <item x="228"/>
        <item x="198"/>
        <item x="638"/>
        <item x="621"/>
        <item x="94"/>
        <item x="352"/>
        <item x="431"/>
        <item x="8"/>
        <item x="76"/>
        <item x="71"/>
        <item x="407"/>
        <item x="111"/>
        <item x="2"/>
        <item x="107"/>
        <item x="16"/>
        <item x="211"/>
        <item x="186"/>
        <item x="152"/>
        <item x="81"/>
        <item x="238"/>
        <item x="525"/>
        <item x="83"/>
        <item x="344"/>
        <item x="248"/>
        <item x="482"/>
        <item x="532"/>
        <item x="473"/>
        <item x="506"/>
        <item x="78"/>
        <item x="33"/>
        <item x="137"/>
        <item x="314"/>
        <item x="426"/>
        <item x="494"/>
        <item x="408"/>
        <item x="575"/>
        <item x="165"/>
        <item x="643"/>
        <item x="89"/>
        <item x="335"/>
        <item x="222"/>
        <item x="416"/>
        <item x="565"/>
        <item x="559"/>
        <item x="336"/>
        <item x="146"/>
        <item x="275"/>
        <item x="627"/>
        <item x="155"/>
        <item x="203"/>
        <item x="589"/>
        <item x="391"/>
        <item x="135"/>
        <item x="562"/>
        <item x="488"/>
        <item x="95"/>
        <item x="189"/>
        <item x="127"/>
        <item x="190"/>
        <item x="277"/>
        <item x="80"/>
        <item x="312"/>
        <item x="184"/>
        <item x="188"/>
        <item x="546"/>
        <item x="340"/>
        <item x="295"/>
        <item x="63"/>
        <item x="382"/>
        <item x="427"/>
        <item x="316"/>
        <item x="99"/>
        <item x="69"/>
        <item x="542"/>
        <item x="366"/>
        <item x="413"/>
        <item x="635"/>
        <item x="44"/>
        <item x="68"/>
        <item x="191"/>
        <item x="629"/>
        <item x="260"/>
        <item x="271"/>
        <item x="454"/>
        <item x="457"/>
        <item x="618"/>
        <item x="286"/>
        <item x="597"/>
        <item x="455"/>
        <item x="272"/>
        <item x="43"/>
        <item x="164"/>
        <item x="409"/>
        <item x="87"/>
        <item x="268"/>
        <item x="534"/>
        <item x="590"/>
        <item x="38"/>
        <item x="175"/>
        <item x="55"/>
        <item x="596"/>
        <item x="576"/>
        <item x="403"/>
        <item x="440"/>
        <item x="178"/>
        <item x="539"/>
        <item x="128"/>
        <item x="561"/>
        <item x="574"/>
        <item x="85"/>
        <item x="395"/>
        <item x="519"/>
        <item x="77"/>
        <item x="182"/>
        <item x="392"/>
        <item x="563"/>
        <item x="288"/>
        <item x="179"/>
        <item x="552"/>
        <item x="15"/>
        <item x="640"/>
        <item x="249"/>
        <item x="263"/>
        <item x="240"/>
        <item x="399"/>
        <item x="158"/>
        <item x="91"/>
        <item x="115"/>
        <item x="624"/>
        <item x="594"/>
        <item x="523"/>
        <item x="86"/>
        <item x="220"/>
        <item x="364"/>
        <item x="214"/>
        <item x="97"/>
        <item x="287"/>
        <item x="452"/>
        <item x="334"/>
        <item x="438"/>
        <item x="105"/>
        <item x="401"/>
        <item x="176"/>
        <item x="433"/>
        <item x="181"/>
        <item x="509"/>
        <item x="199"/>
        <item x="572"/>
        <item x="425"/>
        <item x="398"/>
        <item x="385"/>
        <item x="630"/>
        <item x="162"/>
        <item x="144"/>
        <item x="582"/>
        <item x="264"/>
        <item x="130"/>
        <item x="185"/>
        <item x="276"/>
        <item x="487"/>
        <item x="389"/>
        <item x="96"/>
        <item x="330"/>
        <item x="607"/>
        <item x="256"/>
        <item x="588"/>
        <item x="564"/>
        <item x="245"/>
        <item x="405"/>
        <item x="167"/>
        <item x="472"/>
        <item x="283"/>
        <item x="25"/>
        <item x="650"/>
        <item t="default"/>
      </items>
    </pivotField>
    <pivotField showAll="0"/>
  </pivotFields>
  <rowFields count="1">
    <field x="2"/>
  </rowFields>
  <rowItems count="4">
    <i>
      <x/>
    </i>
    <i>
      <x v="1"/>
    </i>
    <i>
      <x v="2"/>
    </i>
    <i>
      <x v="3"/>
    </i>
  </rowItems>
  <colItems count="1">
    <i/>
  </colItems>
  <dataFields count="1">
    <dataField name="Sum of Net Sales Value" fld="19"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EEDE5-3D04-4AF3-83D8-A85909BCA488}" name="PivotTable9"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9"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items count="15">
        <item x="0"/>
        <item x="11"/>
        <item x="6"/>
        <item x="4"/>
        <item x="8"/>
        <item x="13"/>
        <item x="10"/>
        <item x="1"/>
        <item x="12"/>
        <item x="9"/>
        <item x="2"/>
        <item x="5"/>
        <item x="3"/>
        <item x="7"/>
        <item t="default"/>
      </items>
    </pivotField>
    <pivotField showAll="0"/>
    <pivotField axis="axisRow" showAll="0">
      <items count="6">
        <item x="2"/>
        <item x="3"/>
        <item x="4"/>
        <item x="1"/>
        <item x="0"/>
        <item t="default"/>
      </items>
    </pivotField>
    <pivotField showAll="0"/>
    <pivotField showAll="0"/>
    <pivotField showAll="0">
      <items count="5">
        <item x="2"/>
        <item x="1"/>
        <item x="3"/>
        <item x="0"/>
        <item t="default"/>
      </items>
    </pivotField>
    <pivotField showAll="0">
      <items count="16">
        <item x="1"/>
        <item x="4"/>
        <item x="3"/>
        <item x="11"/>
        <item x="7"/>
        <item x="2"/>
        <item x="10"/>
        <item x="8"/>
        <item x="6"/>
        <item x="5"/>
        <item x="13"/>
        <item x="14"/>
        <item x="0"/>
        <item x="12"/>
        <item x="9"/>
        <item t="default"/>
      </items>
    </pivotField>
    <pivotField showAll="0"/>
    <pivotField showAll="0"/>
    <pivotField showAll="0"/>
    <pivotField numFmtId="4" showAll="0"/>
    <pivotField numFmtId="4" showAll="0"/>
    <pivotField numFmtId="164" showAll="0"/>
    <pivotField showAll="0"/>
    <pivotField numFmtId="4" showAll="0"/>
    <pivotField numFmtId="4" showAll="0"/>
    <pivotField dataField="1" numFmtId="4" showAll="0"/>
    <pivotField showAll="0"/>
    <pivotField showAll="0" defaultSubtotal="0"/>
    <pivotField showAll="0" defaultSubtotal="0"/>
  </pivotFields>
  <rowFields count="1">
    <field x="5"/>
  </rowFields>
  <rowItems count="6">
    <i>
      <x/>
    </i>
    <i>
      <x v="1"/>
    </i>
    <i>
      <x v="2"/>
    </i>
    <i>
      <x v="3"/>
    </i>
    <i>
      <x v="4"/>
    </i>
    <i t="grand">
      <x/>
    </i>
  </rowItems>
  <colItems count="1">
    <i/>
  </colItems>
  <dataFields count="1">
    <dataField name="Sum of Net Sales Value" fld="1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DBABC-7FF2-4948-AD3F-F1BA30537246}" name="PivotTable10"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B8"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items count="15">
        <item x="0"/>
        <item x="11"/>
        <item x="6"/>
        <item x="4"/>
        <item x="8"/>
        <item x="13"/>
        <item x="10"/>
        <item x="1"/>
        <item x="12"/>
        <item x="9"/>
        <item x="2"/>
        <item x="5"/>
        <item x="3"/>
        <item x="7"/>
        <item t="default"/>
      </items>
    </pivotField>
    <pivotField showAll="0"/>
    <pivotField showAll="0">
      <items count="6">
        <item x="2"/>
        <item x="3"/>
        <item x="4"/>
        <item x="1"/>
        <item x="0"/>
        <item t="default"/>
      </items>
    </pivotField>
    <pivotField showAll="0"/>
    <pivotField showAll="0"/>
    <pivotField axis="axisRow" showAll="0">
      <items count="5">
        <item x="2"/>
        <item x="1"/>
        <item x="3"/>
        <item x="0"/>
        <item t="default"/>
      </items>
    </pivotField>
    <pivotField showAll="0">
      <items count="16">
        <item x="1"/>
        <item x="4"/>
        <item x="3"/>
        <item x="11"/>
        <item x="7"/>
        <item x="2"/>
        <item x="10"/>
        <item x="8"/>
        <item x="6"/>
        <item x="5"/>
        <item x="13"/>
        <item x="14"/>
        <item x="0"/>
        <item x="12"/>
        <item x="9"/>
        <item t="default"/>
      </items>
    </pivotField>
    <pivotField showAll="0"/>
    <pivotField showAll="0"/>
    <pivotField showAll="0"/>
    <pivotField numFmtId="4" showAll="0"/>
    <pivotField numFmtId="4" showAll="0"/>
    <pivotField numFmtId="164" showAll="0"/>
    <pivotField showAll="0"/>
    <pivotField numFmtId="4" showAll="0"/>
    <pivotField numFmtId="4" showAll="0"/>
    <pivotField dataField="1" numFmtId="4" showAll="0"/>
    <pivotField showAll="0"/>
    <pivotField showAll="0" defaultSubtotal="0">
      <items count="6">
        <item x="0"/>
        <item x="1"/>
        <item x="2"/>
        <item x="3"/>
        <item x="4"/>
        <item x="5"/>
      </items>
    </pivotField>
    <pivotField showAll="0" defaultSubtotal="0"/>
  </pivotFields>
  <rowFields count="1">
    <field x="8"/>
  </rowFields>
  <rowItems count="5">
    <i>
      <x/>
    </i>
    <i>
      <x v="1"/>
    </i>
    <i>
      <x v="2"/>
    </i>
    <i>
      <x v="3"/>
    </i>
    <i t="grand">
      <x/>
    </i>
  </rowItems>
  <colItems count="1">
    <i/>
  </colItems>
  <dataFields count="1">
    <dataField name="Sum of Net Sales Value" fld="19"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CE0977-51EC-46AB-A615-1CE365DB8C4B}" name="PivotTable1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4"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items count="15">
        <item x="0"/>
        <item x="11"/>
        <item x="6"/>
        <item x="4"/>
        <item x="8"/>
        <item x="13"/>
        <item x="10"/>
        <item x="1"/>
        <item x="12"/>
        <item x="9"/>
        <item x="2"/>
        <item x="5"/>
        <item x="3"/>
        <item x="7"/>
        <item t="default"/>
      </items>
    </pivotField>
    <pivotField showAll="0"/>
    <pivotField showAll="0">
      <items count="6">
        <item x="2"/>
        <item x="3"/>
        <item x="4"/>
        <item x="1"/>
        <item x="0"/>
        <item t="default"/>
      </items>
    </pivotField>
    <pivotField showAll="0"/>
    <pivotField showAll="0"/>
    <pivotField showAll="0">
      <items count="5">
        <item x="2"/>
        <item x="1"/>
        <item x="3"/>
        <item x="0"/>
        <item t="default"/>
      </items>
    </pivotField>
    <pivotField showAll="0">
      <items count="16">
        <item x="1"/>
        <item x="4"/>
        <item x="3"/>
        <item x="11"/>
        <item x="7"/>
        <item x="2"/>
        <item x="10"/>
        <item x="8"/>
        <item x="6"/>
        <item x="5"/>
        <item x="13"/>
        <item x="14"/>
        <item x="0"/>
        <item x="12"/>
        <item x="9"/>
        <item t="default"/>
      </items>
    </pivotField>
    <pivotField showAll="0"/>
    <pivotField axis="axisRow" showAll="0">
      <items count="11">
        <item x="2"/>
        <item x="0"/>
        <item x="3"/>
        <item x="7"/>
        <item x="9"/>
        <item x="1"/>
        <item x="5"/>
        <item x="6"/>
        <item x="4"/>
        <item x="8"/>
        <item t="default"/>
      </items>
    </pivotField>
    <pivotField showAll="0"/>
    <pivotField numFmtId="4" showAll="0"/>
    <pivotField numFmtId="4" showAll="0"/>
    <pivotField numFmtId="164" showAll="0"/>
    <pivotField showAll="0"/>
    <pivotField numFmtId="4" showAll="0"/>
    <pivotField numFmtId="4" showAll="0"/>
    <pivotField dataField="1" numFmtId="4" showAll="0"/>
    <pivotField showAll="0"/>
    <pivotField showAll="0" defaultSubtotal="0"/>
    <pivotField showAll="0" defaultSubtotal="0"/>
  </pivotFields>
  <rowFields count="1">
    <field x="11"/>
  </rowFields>
  <rowItems count="11">
    <i>
      <x/>
    </i>
    <i>
      <x v="1"/>
    </i>
    <i>
      <x v="2"/>
    </i>
    <i>
      <x v="3"/>
    </i>
    <i>
      <x v="4"/>
    </i>
    <i>
      <x v="5"/>
    </i>
    <i>
      <x v="6"/>
    </i>
    <i>
      <x v="7"/>
    </i>
    <i>
      <x v="8"/>
    </i>
    <i>
      <x v="9"/>
    </i>
    <i t="grand">
      <x/>
    </i>
  </rowItems>
  <colItems count="1">
    <i/>
  </colItems>
  <dataFields count="1">
    <dataField name="Sum of Net Sales Value" fld="1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91D060-9587-4E2D-991F-968372FF57D3}" name="PivotTable1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C22" firstHeaderRow="0" firstDataRow="1" firstDataCol="1"/>
  <pivotFields count="23">
    <pivotField showAll="0"/>
    <pivotField axis="axisRow" numFmtId="14" showAll="0">
      <items count="15">
        <item x="0"/>
        <item x="1"/>
        <item x="2"/>
        <item x="3"/>
        <item x="4"/>
        <item x="5"/>
        <item x="6"/>
        <item x="7"/>
        <item x="8"/>
        <item x="9"/>
        <item x="10"/>
        <item x="11"/>
        <item x="12"/>
        <item x="13"/>
        <item t="default"/>
      </items>
    </pivotField>
    <pivotField showAll="0">
      <items count="5">
        <item x="0"/>
        <item x="2"/>
        <item x="1"/>
        <item x="3"/>
        <item t="default"/>
      </items>
    </pivotField>
    <pivotField showAll="0">
      <items count="15">
        <item x="0"/>
        <item x="11"/>
        <item x="6"/>
        <item x="4"/>
        <item x="8"/>
        <item x="13"/>
        <item x="10"/>
        <item x="1"/>
        <item x="12"/>
        <item x="9"/>
        <item x="2"/>
        <item x="5"/>
        <item x="3"/>
        <item x="7"/>
        <item t="default"/>
      </items>
    </pivotField>
    <pivotField showAll="0"/>
    <pivotField showAll="0">
      <items count="6">
        <item x="2"/>
        <item x="3"/>
        <item x="4"/>
        <item x="1"/>
        <item x="0"/>
        <item t="default"/>
      </items>
    </pivotField>
    <pivotField showAll="0"/>
    <pivotField showAll="0"/>
    <pivotField showAll="0">
      <items count="5">
        <item x="2"/>
        <item x="1"/>
        <item x="3"/>
        <item x="0"/>
        <item t="default"/>
      </items>
    </pivotField>
    <pivotField showAll="0">
      <items count="16">
        <item x="1"/>
        <item x="4"/>
        <item x="3"/>
        <item x="11"/>
        <item x="7"/>
        <item x="2"/>
        <item x="10"/>
        <item x="8"/>
        <item x="6"/>
        <item x="5"/>
        <item x="13"/>
        <item x="14"/>
        <item x="0"/>
        <item x="12"/>
        <item x="9"/>
        <item t="default"/>
      </items>
    </pivotField>
    <pivotField showAll="0"/>
    <pivotField showAll="0"/>
    <pivotField showAll="0"/>
    <pivotField numFmtId="4" showAll="0"/>
    <pivotField numFmtId="4" showAll="0"/>
    <pivotField numFmtId="164" showAll="0"/>
    <pivotField showAll="0"/>
    <pivotField dataField="1" numFmtId="4" showAll="0"/>
    <pivotField numFmtId="4" showAll="0"/>
    <pivotField dataField="1" numFmtId="4" showAll="0"/>
    <pivotField showAll="0"/>
    <pivotField axis="axisRow" showAll="0" defaultSubtotal="0">
      <items count="6">
        <item x="0"/>
        <item x="1"/>
        <item x="2"/>
        <item x="3"/>
        <item x="4"/>
        <item x="5"/>
      </items>
    </pivotField>
    <pivotField axis="axisRow" showAll="0" defaultSubtotal="0">
      <items count="4">
        <item x="0"/>
        <item x="1"/>
        <item x="2"/>
        <item x="3"/>
      </items>
    </pivotField>
  </pivotFields>
  <rowFields count="3">
    <field x="22"/>
    <field x="21"/>
    <field x="1"/>
  </rowFields>
  <rowItems count="19">
    <i>
      <x v="1"/>
    </i>
    <i r="1">
      <x v="2"/>
    </i>
    <i r="2">
      <x v="4"/>
    </i>
    <i r="2">
      <x v="5"/>
    </i>
    <i r="2">
      <x v="6"/>
    </i>
    <i r="1">
      <x v="3"/>
    </i>
    <i r="2">
      <x v="7"/>
    </i>
    <i r="2">
      <x v="8"/>
    </i>
    <i r="2">
      <x v="9"/>
    </i>
    <i r="1">
      <x v="4"/>
    </i>
    <i r="2">
      <x v="10"/>
    </i>
    <i r="2">
      <x v="11"/>
    </i>
    <i r="2">
      <x v="12"/>
    </i>
    <i>
      <x v="2"/>
    </i>
    <i r="1">
      <x v="1"/>
    </i>
    <i r="2">
      <x v="1"/>
    </i>
    <i r="2">
      <x v="2"/>
    </i>
    <i r="2">
      <x v="3"/>
    </i>
    <i t="grand">
      <x/>
    </i>
  </rowItems>
  <colFields count="1">
    <field x="-2"/>
  </colFields>
  <colItems count="2">
    <i>
      <x/>
    </i>
    <i i="1">
      <x v="1"/>
    </i>
  </colItems>
  <dataFields count="2">
    <dataField name="Sum of Gross Sales Value" fld="17" baseField="0" baseItem="0"/>
    <dataField name="Sum of Net Sales Value" fld="19"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6F2C8A-1888-421A-AED2-C1B558072858}" sourceName="Region">
  <pivotTables>
    <pivotTable tabId="13" name="PivotTable10"/>
    <pivotTable tabId="12" name="PivotTable9"/>
    <pivotTable tabId="15" name="PivotTable12"/>
    <pivotTable tabId="14" name="PivotTable11"/>
  </pivotTables>
  <data>
    <tabular pivotCacheId="204011349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1E3F5D7-04F2-4A2C-9BB6-AC672CBC9B60}" sourceName="State">
  <pivotTables>
    <pivotTable tabId="13" name="PivotTable10"/>
    <pivotTable tabId="12" name="PivotTable9"/>
    <pivotTable tabId="15" name="PivotTable12"/>
    <pivotTable tabId="14" name="PivotTable11"/>
  </pivotTables>
  <data>
    <tabular pivotCacheId="2040113495">
      <items count="14">
        <i x="0" s="1"/>
        <i x="11" s="1"/>
        <i x="6" s="1"/>
        <i x="4" s="1"/>
        <i x="8" s="1"/>
        <i x="13" s="1"/>
        <i x="10" s="1"/>
        <i x="1" s="1"/>
        <i x="12" s="1"/>
        <i x="9" s="1"/>
        <i x="2" s="1"/>
        <i x="5"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44F41B4-DCD8-4A2D-9A6B-F835537C4738}" sourceName="Sales Channel">
  <pivotTables>
    <pivotTable tabId="13" name="PivotTable10"/>
    <pivotTable tabId="12" name="PivotTable9"/>
    <pivotTable tabId="15" name="PivotTable12"/>
    <pivotTable tabId="14" name="PivotTable11"/>
  </pivotTables>
  <data>
    <tabular pivotCacheId="2040113495">
      <items count="5">
        <i x="2" s="1"/>
        <i x="3"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89DF19-9078-4F90-BF37-116F4AD1CC94}" sourceName="Segment">
  <pivotTables>
    <pivotTable tabId="13" name="PivotTable10"/>
    <pivotTable tabId="12" name="PivotTable9"/>
    <pivotTable tabId="15" name="PivotTable12"/>
    <pivotTable tabId="14" name="PivotTable11"/>
  </pivotTables>
  <data>
    <tabular pivotCacheId="2040113495">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Name" xr10:uid="{B98F0DB4-08E1-49F5-A850-FB864C55F92A}" sourceName="Model Name">
  <pivotTables>
    <pivotTable tabId="13" name="PivotTable10"/>
    <pivotTable tabId="12" name="PivotTable9"/>
    <pivotTable tabId="15" name="PivotTable12"/>
    <pivotTable tabId="14" name="PivotTable11"/>
  </pivotTables>
  <data>
    <tabular pivotCacheId="2040113495">
      <items count="15">
        <i x="1" s="1"/>
        <i x="4" s="1"/>
        <i x="3" s="1"/>
        <i x="11" s="1"/>
        <i x="7" s="1"/>
        <i x="2" s="1"/>
        <i x="10" s="1"/>
        <i x="8" s="1"/>
        <i x="6" s="1"/>
        <i x="5" s="1"/>
        <i x="13" s="1"/>
        <i x="14" s="1"/>
        <i x="0" s="1"/>
        <i x="1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952BA7-F97E-49D2-9D51-4C242317FDAA}" cache="Slicer_Region" caption="Region" rowHeight="234950"/>
  <slicer name="State" xr10:uid="{6F1310A3-9E3B-45DB-B4B7-C70E30401222}" cache="Slicer_State" caption="State" style="SlicerStyleLight4" rowHeight="234950"/>
  <slicer name="Sales Channel" xr10:uid="{5C77467A-E490-4CA0-B7A7-FAF1A67FB544}" cache="Slicer_Sales_Channel" caption="Sales Channel" style="SlicerStyleOther1" rowHeight="234950"/>
  <slicer name="Segment" xr10:uid="{3D9FEFF6-7102-4B11-9816-46BB27F7EC1F}" cache="Slicer_Segment" caption="Segment" style="SlicerStyleLight6" rowHeight="234950"/>
  <slicer name="Model Name" xr10:uid="{E7721512-A0C6-43DB-AD04-F7C42710DA20}" cache="Slicer_Model_Name" caption="Model Name" startItem="6"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5EFD86F-C07B-40E8-AF06-06425FC0E5F0}" sourceName="Order Date">
  <pivotTables>
    <pivotTable tabId="12" name="PivotTable9"/>
    <pivotTable tabId="15" name="PivotTable12"/>
    <pivotTable tabId="13" name="PivotTable10"/>
    <pivotTable tabId="14" name="PivotTable11"/>
  </pivotTables>
  <state minimalRefreshVersion="6" lastRefreshVersion="6" pivotCacheId="204011349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430D859-7A43-4002-B8CA-813D95C51A59}" cache="NativeTimeline_Order_Date" caption="Order Date" level="2" selectionLevel="2" scrollPosition="2024-04-01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32A4D-41AA-4643-9B76-EC9F6C560ADF}">
  <dimension ref="B1:AL91"/>
  <sheetViews>
    <sheetView showGridLines="0" topLeftCell="A9" zoomScale="60" zoomScaleNormal="60" zoomScaleSheetLayoutView="69" zoomScalePageLayoutView="28" workbookViewId="0">
      <selection activeCell="U43" sqref="U43"/>
    </sheetView>
  </sheetViews>
  <sheetFormatPr defaultRowHeight="14.4" x14ac:dyDescent="0.3"/>
  <sheetData>
    <row r="1" spans="3:17" x14ac:dyDescent="0.3">
      <c r="C1" s="18" t="s">
        <v>167</v>
      </c>
      <c r="D1" s="19"/>
      <c r="E1" s="19"/>
      <c r="F1" s="19"/>
      <c r="G1" s="19"/>
      <c r="H1" s="19"/>
    </row>
    <row r="2" spans="3:17" x14ac:dyDescent="0.3">
      <c r="C2" s="19"/>
      <c r="D2" s="19"/>
      <c r="E2" s="19"/>
      <c r="F2" s="19"/>
      <c r="G2" s="19"/>
      <c r="H2" s="19"/>
    </row>
    <row r="3" spans="3:17" ht="14.4" customHeight="1" x14ac:dyDescent="0.3"/>
    <row r="14" spans="3:17" x14ac:dyDescent="0.3">
      <c r="Q14" s="12"/>
    </row>
    <row r="41" spans="2:38" ht="14.4" customHeight="1" x14ac:dyDescent="0.3">
      <c r="U41" s="17" t="s">
        <v>170</v>
      </c>
      <c r="V41" s="17"/>
      <c r="W41" s="17"/>
      <c r="X41" s="17"/>
      <c r="Y41" s="17"/>
      <c r="Z41" s="17"/>
      <c r="AA41" s="17"/>
      <c r="AB41" s="17"/>
      <c r="AC41" s="17"/>
      <c r="AD41" s="17"/>
    </row>
    <row r="42" spans="2:38" x14ac:dyDescent="0.3">
      <c r="U42" s="17"/>
      <c r="V42" s="17"/>
      <c r="W42" s="17"/>
      <c r="X42" s="17"/>
      <c r="Y42" s="17"/>
      <c r="Z42" s="17"/>
      <c r="AA42" s="17"/>
      <c r="AB42" s="17"/>
      <c r="AC42" s="17"/>
      <c r="AD42" s="17"/>
    </row>
    <row r="43" spans="2:38" x14ac:dyDescent="0.3">
      <c r="K43" s="21" t="s">
        <v>169</v>
      </c>
      <c r="L43" s="15"/>
      <c r="M43" s="15"/>
      <c r="N43" s="15"/>
      <c r="O43" s="15"/>
      <c r="P43" s="15"/>
      <c r="Q43" s="15"/>
      <c r="R43" s="15"/>
      <c r="S43" s="15"/>
      <c r="T43" s="15"/>
      <c r="V43" s="13"/>
      <c r="W43" s="13"/>
      <c r="X43" s="13"/>
      <c r="Y43" s="13"/>
      <c r="Z43" s="13"/>
      <c r="AA43" s="13"/>
      <c r="AB43" s="13"/>
      <c r="AC43" s="13"/>
      <c r="AD43" s="13"/>
    </row>
    <row r="44" spans="2:38" ht="21" x14ac:dyDescent="0.4">
      <c r="B44" s="20" t="s">
        <v>168</v>
      </c>
      <c r="C44" s="20"/>
      <c r="D44" s="20"/>
      <c r="E44" s="20"/>
      <c r="F44" s="20"/>
      <c r="G44" s="20"/>
      <c r="H44" s="20"/>
      <c r="I44" s="20"/>
      <c r="J44" s="20"/>
      <c r="K44" s="15"/>
      <c r="L44" s="15"/>
      <c r="M44" s="15"/>
      <c r="N44" s="15"/>
      <c r="O44" s="15"/>
      <c r="P44" s="15"/>
      <c r="Q44" s="15"/>
      <c r="R44" s="15"/>
      <c r="S44" s="15"/>
      <c r="T44" s="15"/>
      <c r="AG44" s="15" t="s">
        <v>171</v>
      </c>
      <c r="AH44" s="15"/>
      <c r="AI44" s="15"/>
      <c r="AJ44" s="15"/>
      <c r="AK44" s="15"/>
      <c r="AL44" s="15"/>
    </row>
    <row r="45" spans="2:38" x14ac:dyDescent="0.3">
      <c r="AG45" s="15"/>
      <c r="AH45" s="15"/>
      <c r="AI45" s="15"/>
      <c r="AJ45" s="15"/>
      <c r="AK45" s="15"/>
      <c r="AL45" s="15"/>
    </row>
    <row r="88" spans="2:19" x14ac:dyDescent="0.3">
      <c r="B88" s="14" t="s">
        <v>172</v>
      </c>
      <c r="C88" s="15"/>
      <c r="D88" s="15"/>
      <c r="E88" s="15"/>
      <c r="F88" s="15"/>
      <c r="G88" s="15"/>
      <c r="H88" s="15"/>
      <c r="I88" s="15"/>
    </row>
    <row r="89" spans="2:19" x14ac:dyDescent="0.3">
      <c r="B89" s="15"/>
      <c r="C89" s="15"/>
      <c r="D89" s="15"/>
      <c r="E89" s="15"/>
      <c r="F89" s="15"/>
      <c r="G89" s="15"/>
      <c r="H89" s="15"/>
      <c r="I89" s="15"/>
    </row>
    <row r="90" spans="2:19" x14ac:dyDescent="0.3">
      <c r="M90" s="16" t="s">
        <v>173</v>
      </c>
      <c r="N90" s="16"/>
      <c r="O90" s="16"/>
      <c r="P90" s="16"/>
      <c r="Q90" s="16"/>
      <c r="R90" s="16"/>
      <c r="S90" s="16"/>
    </row>
    <row r="91" spans="2:19" x14ac:dyDescent="0.3">
      <c r="M91" s="16"/>
      <c r="N91" s="16"/>
      <c r="O91" s="16"/>
      <c r="P91" s="16"/>
      <c r="Q91" s="16"/>
      <c r="R91" s="16"/>
      <c r="S91" s="16"/>
    </row>
  </sheetData>
  <mergeCells count="7">
    <mergeCell ref="AG44:AL45"/>
    <mergeCell ref="B88:I89"/>
    <mergeCell ref="M90:S91"/>
    <mergeCell ref="U41:AD42"/>
    <mergeCell ref="C1:H2"/>
    <mergeCell ref="B44:J44"/>
    <mergeCell ref="K43:T4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6AE8-C516-42B8-8F2F-D0B4605414AF}">
  <dimension ref="A3:B8"/>
  <sheetViews>
    <sheetView workbookViewId="0">
      <selection activeCell="C9" sqref="C9"/>
    </sheetView>
  </sheetViews>
  <sheetFormatPr defaultRowHeight="14.4" x14ac:dyDescent="0.3"/>
  <cols>
    <col min="1" max="1" width="21.5546875" bestFit="1" customWidth="1"/>
    <col min="2" max="2" width="11" bestFit="1" customWidth="1"/>
    <col min="3" max="3" width="16.77734375" bestFit="1" customWidth="1"/>
    <col min="4" max="4" width="16" bestFit="1" customWidth="1"/>
    <col min="5" max="5" width="18.109375" bestFit="1" customWidth="1"/>
    <col min="6" max="651" width="15.5546875" bestFit="1" customWidth="1"/>
    <col min="652" max="652" width="10.77734375" bestFit="1" customWidth="1"/>
  </cols>
  <sheetData>
    <row r="3" spans="1:2" x14ac:dyDescent="0.3">
      <c r="A3" s="7" t="s">
        <v>148</v>
      </c>
    </row>
    <row r="4" spans="1:2" x14ac:dyDescent="0.3">
      <c r="A4" t="s">
        <v>143</v>
      </c>
      <c r="B4" s="6">
        <v>1501266517.2199993</v>
      </c>
    </row>
    <row r="5" spans="1:2" x14ac:dyDescent="0.3">
      <c r="A5" t="s">
        <v>144</v>
      </c>
      <c r="B5" s="6">
        <v>1569231349.6699994</v>
      </c>
    </row>
    <row r="6" spans="1:2" x14ac:dyDescent="0.3">
      <c r="A6" t="s">
        <v>147</v>
      </c>
      <c r="B6" s="6">
        <v>2783</v>
      </c>
    </row>
    <row r="7" spans="1:2" x14ac:dyDescent="0.3">
      <c r="A7" t="s">
        <v>145</v>
      </c>
      <c r="B7" s="6">
        <v>1488</v>
      </c>
    </row>
    <row r="8" spans="1:2" x14ac:dyDescent="0.3">
      <c r="A8" t="s">
        <v>146</v>
      </c>
      <c r="B8" s="6">
        <v>11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9DDC-0DAF-4240-AC4D-57799AC608A0}">
  <dimension ref="A2:F11"/>
  <sheetViews>
    <sheetView showGridLines="0" workbookViewId="0">
      <selection activeCell="E8" sqref="E8"/>
    </sheetView>
  </sheetViews>
  <sheetFormatPr defaultRowHeight="14.4" x14ac:dyDescent="0.3"/>
  <cols>
    <col min="2" max="2" width="117.6640625" customWidth="1"/>
  </cols>
  <sheetData>
    <row r="2" spans="1:6" x14ac:dyDescent="0.3">
      <c r="A2" s="22" t="s">
        <v>174</v>
      </c>
      <c r="B2" s="23"/>
      <c r="C2" s="23"/>
      <c r="D2" s="23"/>
      <c r="E2" s="23"/>
      <c r="F2" s="23"/>
    </row>
    <row r="3" spans="1:6" x14ac:dyDescent="0.3">
      <c r="A3" s="23"/>
      <c r="B3" s="23"/>
      <c r="C3" s="23"/>
      <c r="D3" s="23"/>
      <c r="E3" s="23"/>
      <c r="F3" s="23"/>
    </row>
    <row r="4" spans="1:6" x14ac:dyDescent="0.3">
      <c r="A4" s="26"/>
    </row>
    <row r="5" spans="1:6" ht="18" x14ac:dyDescent="0.35">
      <c r="A5" s="27">
        <v>1</v>
      </c>
      <c r="B5" s="24" t="s">
        <v>176</v>
      </c>
    </row>
    <row r="6" spans="1:6" ht="18" x14ac:dyDescent="0.35">
      <c r="A6" s="27">
        <v>2</v>
      </c>
      <c r="B6" s="24" t="s">
        <v>177</v>
      </c>
    </row>
    <row r="7" spans="1:6" ht="18" x14ac:dyDescent="0.35">
      <c r="A7" s="27">
        <v>3</v>
      </c>
      <c r="B7" s="24" t="s">
        <v>175</v>
      </c>
    </row>
    <row r="8" spans="1:6" ht="18" x14ac:dyDescent="0.35">
      <c r="A8" s="27">
        <v>4</v>
      </c>
      <c r="B8" s="24" t="s">
        <v>178</v>
      </c>
    </row>
    <row r="9" spans="1:6" ht="18" x14ac:dyDescent="0.35">
      <c r="A9" s="27">
        <v>5</v>
      </c>
      <c r="B9" s="24" t="s">
        <v>179</v>
      </c>
    </row>
    <row r="10" spans="1:6" ht="18" x14ac:dyDescent="0.35">
      <c r="A10" s="27">
        <v>6</v>
      </c>
      <c r="B10" s="24" t="s">
        <v>180</v>
      </c>
    </row>
    <row r="11" spans="1:6" ht="18" x14ac:dyDescent="0.35">
      <c r="A11" s="27">
        <v>7</v>
      </c>
      <c r="B11" s="25" t="s">
        <v>181</v>
      </c>
    </row>
  </sheetData>
  <mergeCells count="1">
    <mergeCell ref="A2: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68B3-BE5D-4DC1-821B-07A3C05762DE}">
  <dimension ref="A3:B7"/>
  <sheetViews>
    <sheetView workbookViewId="0">
      <selection activeCell="L8" sqref="L8"/>
    </sheetView>
  </sheetViews>
  <sheetFormatPr defaultRowHeight="14.4" x14ac:dyDescent="0.3"/>
  <cols>
    <col min="1" max="1" width="12.5546875" bestFit="1" customWidth="1"/>
    <col min="2" max="2" width="20.5546875" bestFit="1" customWidth="1"/>
  </cols>
  <sheetData>
    <row r="3" spans="1:2" x14ac:dyDescent="0.3">
      <c r="A3" s="7" t="s">
        <v>141</v>
      </c>
      <c r="B3" t="s">
        <v>143</v>
      </c>
    </row>
    <row r="4" spans="1:2" x14ac:dyDescent="0.3">
      <c r="A4" s="8" t="s">
        <v>20</v>
      </c>
      <c r="B4" s="6">
        <v>411291160.43999988</v>
      </c>
    </row>
    <row r="5" spans="1:2" x14ac:dyDescent="0.3">
      <c r="A5" s="8" t="s">
        <v>51</v>
      </c>
      <c r="B5" s="6">
        <v>311983681.27999997</v>
      </c>
    </row>
    <row r="6" spans="1:2" x14ac:dyDescent="0.3">
      <c r="A6" s="8" t="s">
        <v>38</v>
      </c>
      <c r="B6" s="6">
        <v>401905266.06999993</v>
      </c>
    </row>
    <row r="7" spans="1:2" x14ac:dyDescent="0.3">
      <c r="A7" s="8" t="s">
        <v>69</v>
      </c>
      <c r="B7" s="6">
        <v>376086409.42999995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10C3A-0360-4FFF-B3D8-33A1B045E111}">
  <dimension ref="A3:B9"/>
  <sheetViews>
    <sheetView workbookViewId="0">
      <selection activeCell="A3" sqref="A3"/>
    </sheetView>
  </sheetViews>
  <sheetFormatPr defaultRowHeight="14.4" x14ac:dyDescent="0.3"/>
  <cols>
    <col min="1" max="1" width="18.21875" bestFit="1" customWidth="1"/>
    <col min="2" max="2" width="20.5546875" bestFit="1" customWidth="1"/>
  </cols>
  <sheetData>
    <row r="3" spans="1:2" x14ac:dyDescent="0.3">
      <c r="A3" s="7" t="s">
        <v>141</v>
      </c>
      <c r="B3" t="s">
        <v>143</v>
      </c>
    </row>
    <row r="4" spans="1:2" x14ac:dyDescent="0.3">
      <c r="A4" s="8" t="s">
        <v>41</v>
      </c>
      <c r="B4" s="6">
        <v>342055826.01999986</v>
      </c>
    </row>
    <row r="5" spans="1:2" x14ac:dyDescent="0.3">
      <c r="A5" s="8" t="s">
        <v>46</v>
      </c>
      <c r="B5" s="6">
        <v>263418603.00999993</v>
      </c>
    </row>
    <row r="6" spans="1:2" x14ac:dyDescent="0.3">
      <c r="A6" s="8" t="s">
        <v>65</v>
      </c>
      <c r="B6" s="6">
        <v>264198974.1800001</v>
      </c>
    </row>
    <row r="7" spans="1:2" x14ac:dyDescent="0.3">
      <c r="A7" s="8" t="s">
        <v>32</v>
      </c>
      <c r="B7" s="6">
        <v>296624511.13999999</v>
      </c>
    </row>
    <row r="8" spans="1:2" x14ac:dyDescent="0.3">
      <c r="A8" s="8" t="s">
        <v>23</v>
      </c>
      <c r="B8" s="6">
        <v>334968602.87</v>
      </c>
    </row>
    <row r="9" spans="1:2" x14ac:dyDescent="0.3">
      <c r="A9" s="8" t="s">
        <v>142</v>
      </c>
      <c r="B9" s="6">
        <v>1501266517.2199998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9683-B401-432B-8F8B-548ADCCDE44C}">
  <dimension ref="A3:B8"/>
  <sheetViews>
    <sheetView workbookViewId="0">
      <selection activeCell="AC18" sqref="AC18"/>
    </sheetView>
  </sheetViews>
  <sheetFormatPr defaultRowHeight="14.4" x14ac:dyDescent="0.3"/>
  <cols>
    <col min="1" max="1" width="12.5546875" bestFit="1" customWidth="1"/>
    <col min="2" max="2" width="20.5546875" bestFit="1" customWidth="1"/>
  </cols>
  <sheetData>
    <row r="3" spans="1:2" x14ac:dyDescent="0.3">
      <c r="A3" s="7" t="s">
        <v>141</v>
      </c>
      <c r="B3" t="s">
        <v>143</v>
      </c>
    </row>
    <row r="4" spans="1:2" x14ac:dyDescent="0.3">
      <c r="A4" s="8" t="s">
        <v>43</v>
      </c>
      <c r="B4" s="6">
        <v>240336470.73000005</v>
      </c>
    </row>
    <row r="5" spans="1:2" x14ac:dyDescent="0.3">
      <c r="A5" s="8" t="s">
        <v>34</v>
      </c>
      <c r="B5" s="6">
        <v>80797809.25999999</v>
      </c>
    </row>
    <row r="6" spans="1:2" x14ac:dyDescent="0.3">
      <c r="A6" s="8" t="s">
        <v>67</v>
      </c>
      <c r="B6" s="6">
        <v>499251174.15999985</v>
      </c>
    </row>
    <row r="7" spans="1:2" x14ac:dyDescent="0.3">
      <c r="A7" s="8" t="s">
        <v>26</v>
      </c>
      <c r="B7" s="6">
        <v>680881063.06999993</v>
      </c>
    </row>
    <row r="8" spans="1:2" x14ac:dyDescent="0.3">
      <c r="A8" s="8" t="s">
        <v>142</v>
      </c>
      <c r="B8" s="6">
        <v>1501266517.2199998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8B22-8C3A-4A9A-BDC2-3D1336C82DAB}">
  <dimension ref="A3:B14"/>
  <sheetViews>
    <sheetView workbookViewId="0">
      <selection activeCell="A14" sqref="A14:B14"/>
    </sheetView>
  </sheetViews>
  <sheetFormatPr defaultRowHeight="14.4" x14ac:dyDescent="0.3"/>
  <cols>
    <col min="1" max="1" width="12.5546875" bestFit="1" customWidth="1"/>
    <col min="2" max="2" width="20.5546875" bestFit="1" customWidth="1"/>
  </cols>
  <sheetData>
    <row r="3" spans="1:2" x14ac:dyDescent="0.3">
      <c r="A3" s="7" t="s">
        <v>141</v>
      </c>
      <c r="B3" t="s">
        <v>143</v>
      </c>
    </row>
    <row r="4" spans="1:2" x14ac:dyDescent="0.3">
      <c r="A4" s="8" t="s">
        <v>50</v>
      </c>
      <c r="B4" s="6">
        <v>181798938.95000002</v>
      </c>
    </row>
    <row r="5" spans="1:2" x14ac:dyDescent="0.3">
      <c r="A5" s="8" t="s">
        <v>29</v>
      </c>
      <c r="B5" s="6">
        <v>128336257.41999999</v>
      </c>
    </row>
    <row r="6" spans="1:2" x14ac:dyDescent="0.3">
      <c r="A6" s="8" t="s">
        <v>59</v>
      </c>
      <c r="B6" s="6">
        <v>161812814.33000004</v>
      </c>
    </row>
    <row r="7" spans="1:2" x14ac:dyDescent="0.3">
      <c r="A7" s="8" t="s">
        <v>92</v>
      </c>
      <c r="B7" s="6">
        <v>157874123.65000007</v>
      </c>
    </row>
    <row r="8" spans="1:2" x14ac:dyDescent="0.3">
      <c r="A8" s="8" t="s">
        <v>123</v>
      </c>
      <c r="B8" s="6">
        <v>161000964.01999995</v>
      </c>
    </row>
    <row r="9" spans="1:2" x14ac:dyDescent="0.3">
      <c r="A9" s="8" t="s">
        <v>37</v>
      </c>
      <c r="B9" s="6">
        <v>158680365.11000001</v>
      </c>
    </row>
    <row r="10" spans="1:2" x14ac:dyDescent="0.3">
      <c r="A10" s="8" t="s">
        <v>78</v>
      </c>
      <c r="B10" s="6">
        <v>145799435.14999998</v>
      </c>
    </row>
    <row r="11" spans="1:2" x14ac:dyDescent="0.3">
      <c r="A11" s="8" t="s">
        <v>87</v>
      </c>
      <c r="B11" s="6">
        <v>142447984.49999997</v>
      </c>
    </row>
    <row r="12" spans="1:2" x14ac:dyDescent="0.3">
      <c r="A12" s="8" t="s">
        <v>73</v>
      </c>
      <c r="B12" s="6">
        <v>137916191.44000003</v>
      </c>
    </row>
    <row r="13" spans="1:2" x14ac:dyDescent="0.3">
      <c r="A13" s="8" t="s">
        <v>122</v>
      </c>
      <c r="B13" s="6">
        <v>125599442.64999998</v>
      </c>
    </row>
    <row r="14" spans="1:2" x14ac:dyDescent="0.3">
      <c r="A14" s="8" t="s">
        <v>142</v>
      </c>
      <c r="B14" s="6">
        <v>1501266517.2200003</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CD1F-2274-482F-9B66-7D6FF48A97CA}">
  <dimension ref="A3:C22"/>
  <sheetViews>
    <sheetView topLeftCell="A2" workbookViewId="0">
      <selection activeCell="K5" sqref="K5"/>
    </sheetView>
  </sheetViews>
  <sheetFormatPr defaultRowHeight="14.4" x14ac:dyDescent="0.3"/>
  <cols>
    <col min="1" max="1" width="12.5546875" bestFit="1" customWidth="1"/>
    <col min="2" max="2" width="22.21875" bestFit="1" customWidth="1"/>
    <col min="3" max="3" width="20.5546875" bestFit="1" customWidth="1"/>
  </cols>
  <sheetData>
    <row r="3" spans="1:3" x14ac:dyDescent="0.3">
      <c r="A3" s="7" t="s">
        <v>141</v>
      </c>
      <c r="B3" t="s">
        <v>144</v>
      </c>
      <c r="C3" t="s">
        <v>143</v>
      </c>
    </row>
    <row r="4" spans="1:3" x14ac:dyDescent="0.3">
      <c r="A4" s="8" t="s">
        <v>149</v>
      </c>
      <c r="B4" s="6"/>
      <c r="C4" s="6"/>
    </row>
    <row r="5" spans="1:3" x14ac:dyDescent="0.3">
      <c r="A5" s="9" t="s">
        <v>150</v>
      </c>
      <c r="B5" s="6"/>
      <c r="C5" s="6"/>
    </row>
    <row r="6" spans="1:3" x14ac:dyDescent="0.3">
      <c r="A6" s="11" t="s">
        <v>151</v>
      </c>
      <c r="B6" s="6">
        <v>89565286.920000032</v>
      </c>
      <c r="C6" s="6">
        <v>85218230.670000002</v>
      </c>
    </row>
    <row r="7" spans="1:3" x14ac:dyDescent="0.3">
      <c r="A7" s="11" t="s">
        <v>152</v>
      </c>
      <c r="B7" s="6">
        <v>156678258.47</v>
      </c>
      <c r="C7" s="6">
        <v>148240735.19999999</v>
      </c>
    </row>
    <row r="8" spans="1:3" x14ac:dyDescent="0.3">
      <c r="A8" s="11" t="s">
        <v>153</v>
      </c>
      <c r="B8" s="6">
        <v>110012535.88000001</v>
      </c>
      <c r="C8" s="6">
        <v>105112978.74999999</v>
      </c>
    </row>
    <row r="9" spans="1:3" x14ac:dyDescent="0.3">
      <c r="A9" s="9" t="s">
        <v>154</v>
      </c>
      <c r="B9" s="6"/>
      <c r="C9" s="6"/>
    </row>
    <row r="10" spans="1:3" x14ac:dyDescent="0.3">
      <c r="A10" s="11" t="s">
        <v>155</v>
      </c>
      <c r="B10" s="6">
        <v>132263296.20999999</v>
      </c>
      <c r="C10" s="6">
        <v>127397207.91000001</v>
      </c>
    </row>
    <row r="11" spans="1:3" x14ac:dyDescent="0.3">
      <c r="A11" s="11" t="s">
        <v>156</v>
      </c>
      <c r="B11" s="6">
        <v>129361147.52000001</v>
      </c>
      <c r="C11" s="6">
        <v>123389817.00000004</v>
      </c>
    </row>
    <row r="12" spans="1:3" x14ac:dyDescent="0.3">
      <c r="A12" s="11" t="s">
        <v>157</v>
      </c>
      <c r="B12" s="6">
        <v>136252048.46000001</v>
      </c>
      <c r="C12" s="6">
        <v>130205847.30999999</v>
      </c>
    </row>
    <row r="13" spans="1:3" x14ac:dyDescent="0.3">
      <c r="A13" s="9" t="s">
        <v>158</v>
      </c>
      <c r="B13" s="6"/>
      <c r="C13" s="6"/>
    </row>
    <row r="14" spans="1:3" x14ac:dyDescent="0.3">
      <c r="A14" s="11" t="s">
        <v>159</v>
      </c>
      <c r="B14" s="6">
        <v>138538095.85000005</v>
      </c>
      <c r="C14" s="6">
        <v>132570208.72000001</v>
      </c>
    </row>
    <row r="15" spans="1:3" x14ac:dyDescent="0.3">
      <c r="A15" s="11" t="s">
        <v>160</v>
      </c>
      <c r="B15" s="6">
        <v>135384236.64000002</v>
      </c>
      <c r="C15" s="6">
        <v>129559502.27999997</v>
      </c>
    </row>
    <row r="16" spans="1:3" x14ac:dyDescent="0.3">
      <c r="A16" s="11" t="s">
        <v>161</v>
      </c>
      <c r="B16" s="6">
        <v>127220951.84000002</v>
      </c>
      <c r="C16" s="6">
        <v>122656641.33999997</v>
      </c>
    </row>
    <row r="17" spans="1:3" x14ac:dyDescent="0.3">
      <c r="A17" s="8" t="s">
        <v>162</v>
      </c>
      <c r="B17" s="6"/>
      <c r="C17" s="6"/>
    </row>
    <row r="18" spans="1:3" x14ac:dyDescent="0.3">
      <c r="A18" s="9" t="s">
        <v>163</v>
      </c>
      <c r="B18" s="6"/>
      <c r="C18" s="6"/>
    </row>
    <row r="19" spans="1:3" x14ac:dyDescent="0.3">
      <c r="A19" s="11" t="s">
        <v>164</v>
      </c>
      <c r="B19" s="6">
        <v>139613680.38999993</v>
      </c>
      <c r="C19" s="6">
        <v>132992695.66000001</v>
      </c>
    </row>
    <row r="20" spans="1:3" x14ac:dyDescent="0.3">
      <c r="A20" s="11" t="s">
        <v>165</v>
      </c>
      <c r="B20" s="6">
        <v>138504930.91999999</v>
      </c>
      <c r="C20" s="6">
        <v>133047723.03</v>
      </c>
    </row>
    <row r="21" spans="1:3" x14ac:dyDescent="0.3">
      <c r="A21" s="11" t="s">
        <v>166</v>
      </c>
      <c r="B21" s="6">
        <v>135836880.57000002</v>
      </c>
      <c r="C21" s="6">
        <v>130874929.35000001</v>
      </c>
    </row>
    <row r="22" spans="1:3" x14ac:dyDescent="0.3">
      <c r="A22" s="8" t="s">
        <v>142</v>
      </c>
      <c r="B22" s="6">
        <v>1569231349.6699998</v>
      </c>
      <c r="C22" s="6">
        <v>1501266517.22</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51"/>
  <sheetViews>
    <sheetView tabSelected="1" topLeftCell="J1" workbookViewId="0">
      <pane ySplit="1" topLeftCell="A624" activePane="bottomLeft" state="frozen"/>
      <selection pane="bottomLeft" activeCell="W639" sqref="W639"/>
    </sheetView>
  </sheetViews>
  <sheetFormatPr defaultRowHeight="14.4" x14ac:dyDescent="0.3"/>
  <cols>
    <col min="1" max="1" width="10" customWidth="1"/>
    <col min="2" max="2" width="12" customWidth="1"/>
    <col min="3" max="3" width="9" customWidth="1"/>
    <col min="4" max="4" width="15" customWidth="1"/>
    <col min="5" max="5" width="16" customWidth="1"/>
    <col min="6" max="6" width="18" customWidth="1"/>
    <col min="7" max="7" width="20" customWidth="1"/>
    <col min="8" max="8" width="14" customWidth="1"/>
    <col min="9" max="11" width="12" customWidth="1"/>
    <col min="12" max="12" width="15" customWidth="1"/>
    <col min="13" max="13" width="10" customWidth="1"/>
    <col min="14" max="14" width="15" customWidth="1"/>
    <col min="15" max="15" width="12" customWidth="1"/>
    <col min="16" max="16" width="11" customWidth="1"/>
    <col min="17" max="17" width="12" customWidth="1"/>
    <col min="18" max="18" width="15" customWidth="1"/>
    <col min="19" max="19" width="9.21875" bestFit="1" customWidth="1"/>
    <col min="20" max="20" width="14.6640625" bestFit="1" customWidth="1"/>
    <col min="21" max="21" width="18.77734375" customWidth="1"/>
    <col min="23" max="23" width="8.88671875" style="6" customWidth="1"/>
    <col min="24" max="24" width="18.88671875" customWidth="1"/>
  </cols>
  <sheetData>
    <row r="1" spans="1:23" ht="26.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5" t="s">
        <v>140</v>
      </c>
      <c r="W1"/>
    </row>
    <row r="2" spans="1:23" x14ac:dyDescent="0.3">
      <c r="A2" s="2">
        <v>800328</v>
      </c>
      <c r="B2" s="10">
        <v>45383</v>
      </c>
      <c r="C2" s="2" t="s">
        <v>20</v>
      </c>
      <c r="D2" s="2" t="s">
        <v>21</v>
      </c>
      <c r="E2" s="2" t="s">
        <v>22</v>
      </c>
      <c r="F2" s="2" t="s">
        <v>23</v>
      </c>
      <c r="G2" s="2" t="s">
        <v>24</v>
      </c>
      <c r="H2" s="2" t="s">
        <v>25</v>
      </c>
      <c r="I2" s="2" t="s">
        <v>26</v>
      </c>
      <c r="J2" s="2" t="s">
        <v>27</v>
      </c>
      <c r="K2" s="2" t="s">
        <v>28</v>
      </c>
      <c r="L2" s="2" t="s">
        <v>29</v>
      </c>
      <c r="M2" s="2">
        <v>1</v>
      </c>
      <c r="N2" s="3">
        <v>750000</v>
      </c>
      <c r="O2" s="3">
        <v>742628.99</v>
      </c>
      <c r="P2" s="4">
        <v>0</v>
      </c>
      <c r="Q2" s="2">
        <v>0</v>
      </c>
      <c r="R2" s="3">
        <v>742628.99</v>
      </c>
      <c r="S2" s="3">
        <v>0</v>
      </c>
      <c r="T2" s="3">
        <v>742628.99</v>
      </c>
      <c r="U2" t="str">
        <f t="shared" ref="U2:U65" si="0">IF(T2&gt;2000000,"Achive","Not achive")</f>
        <v>Not achive</v>
      </c>
      <c r="W2"/>
    </row>
    <row r="3" spans="1:23" x14ac:dyDescent="0.3">
      <c r="A3" s="2">
        <v>800512</v>
      </c>
      <c r="B3" s="10">
        <v>45384</v>
      </c>
      <c r="C3" s="2" t="s">
        <v>20</v>
      </c>
      <c r="D3" s="2" t="s">
        <v>30</v>
      </c>
      <c r="E3" s="2" t="s">
        <v>31</v>
      </c>
      <c r="F3" s="2" t="s">
        <v>32</v>
      </c>
      <c r="G3" s="2" t="s">
        <v>33</v>
      </c>
      <c r="H3" s="2" t="s">
        <v>25</v>
      </c>
      <c r="I3" s="2" t="s">
        <v>34</v>
      </c>
      <c r="J3" s="2" t="s">
        <v>35</v>
      </c>
      <c r="K3" s="2" t="s">
        <v>36</v>
      </c>
      <c r="L3" s="2" t="s">
        <v>37</v>
      </c>
      <c r="M3" s="2">
        <v>4</v>
      </c>
      <c r="N3" s="3">
        <v>550000</v>
      </c>
      <c r="O3" s="3">
        <v>544607.6</v>
      </c>
      <c r="P3" s="4">
        <v>0</v>
      </c>
      <c r="Q3" s="2">
        <v>0</v>
      </c>
      <c r="R3" s="3">
        <v>2178430.4</v>
      </c>
      <c r="S3" s="3">
        <v>0</v>
      </c>
      <c r="T3" s="3">
        <v>2178430.4</v>
      </c>
      <c r="U3" t="str">
        <f t="shared" si="0"/>
        <v>Achive</v>
      </c>
      <c r="W3"/>
    </row>
    <row r="4" spans="1:23" x14ac:dyDescent="0.3">
      <c r="A4" s="2">
        <v>800332</v>
      </c>
      <c r="B4" s="10">
        <v>45385</v>
      </c>
      <c r="C4" s="2" t="s">
        <v>38</v>
      </c>
      <c r="D4" s="2" t="s">
        <v>39</v>
      </c>
      <c r="E4" s="2" t="s">
        <v>40</v>
      </c>
      <c r="F4" s="2" t="s">
        <v>41</v>
      </c>
      <c r="G4" s="2" t="s">
        <v>42</v>
      </c>
      <c r="H4" s="2" t="s">
        <v>25</v>
      </c>
      <c r="I4" s="2" t="s">
        <v>43</v>
      </c>
      <c r="J4" s="2" t="s">
        <v>44</v>
      </c>
      <c r="K4" s="2" t="s">
        <v>45</v>
      </c>
      <c r="L4" s="2" t="s">
        <v>37</v>
      </c>
      <c r="M4" s="2">
        <v>4</v>
      </c>
      <c r="N4" s="3">
        <v>800000</v>
      </c>
      <c r="O4" s="3">
        <v>802338.27</v>
      </c>
      <c r="P4" s="4">
        <v>0</v>
      </c>
      <c r="Q4" s="2">
        <v>0</v>
      </c>
      <c r="R4" s="3">
        <v>3209353.08</v>
      </c>
      <c r="S4" s="3">
        <v>0</v>
      </c>
      <c r="T4" s="3">
        <v>3209353.08</v>
      </c>
      <c r="U4" t="str">
        <f t="shared" si="0"/>
        <v>Achive</v>
      </c>
    </row>
    <row r="5" spans="1:23" x14ac:dyDescent="0.3">
      <c r="A5" s="2">
        <v>800374</v>
      </c>
      <c r="B5" s="10">
        <v>45385</v>
      </c>
      <c r="C5" s="2" t="s">
        <v>38</v>
      </c>
      <c r="D5" s="2" t="s">
        <v>39</v>
      </c>
      <c r="E5" s="2" t="s">
        <v>40</v>
      </c>
      <c r="F5" s="2" t="s">
        <v>46</v>
      </c>
      <c r="G5" s="2" t="s">
        <v>47</v>
      </c>
      <c r="H5" s="2" t="s">
        <v>25</v>
      </c>
      <c r="I5" s="2" t="s">
        <v>26</v>
      </c>
      <c r="J5" s="2" t="s">
        <v>48</v>
      </c>
      <c r="K5" s="2" t="s">
        <v>49</v>
      </c>
      <c r="L5" s="2" t="s">
        <v>50</v>
      </c>
      <c r="M5" s="2">
        <v>2</v>
      </c>
      <c r="N5" s="3">
        <v>1200000</v>
      </c>
      <c r="O5" s="3">
        <v>1199897.54</v>
      </c>
      <c r="P5" s="4">
        <v>10</v>
      </c>
      <c r="Q5" s="2">
        <v>0</v>
      </c>
      <c r="R5" s="3">
        <v>2399795.08</v>
      </c>
      <c r="S5" s="3">
        <v>239979.51</v>
      </c>
      <c r="T5" s="3">
        <v>2159815.5699999998</v>
      </c>
      <c r="U5" t="str">
        <f t="shared" si="0"/>
        <v>Achive</v>
      </c>
    </row>
    <row r="6" spans="1:23" x14ac:dyDescent="0.3">
      <c r="A6" s="2">
        <v>800459</v>
      </c>
      <c r="B6" s="10">
        <v>45385</v>
      </c>
      <c r="C6" s="2" t="s">
        <v>51</v>
      </c>
      <c r="D6" s="2" t="s">
        <v>52</v>
      </c>
      <c r="E6" s="2" t="s">
        <v>53</v>
      </c>
      <c r="F6" s="2" t="s">
        <v>41</v>
      </c>
      <c r="G6" s="2" t="s">
        <v>54</v>
      </c>
      <c r="H6" s="2" t="s">
        <v>25</v>
      </c>
      <c r="I6" s="2" t="s">
        <v>34</v>
      </c>
      <c r="J6" s="2" t="s">
        <v>35</v>
      </c>
      <c r="K6" s="2" t="s">
        <v>36</v>
      </c>
      <c r="L6" s="2" t="s">
        <v>29</v>
      </c>
      <c r="M6" s="2">
        <v>4</v>
      </c>
      <c r="N6" s="3">
        <v>550000</v>
      </c>
      <c r="O6" s="3">
        <v>547184.76</v>
      </c>
      <c r="P6" s="4">
        <v>12.5</v>
      </c>
      <c r="Q6" s="2">
        <v>0</v>
      </c>
      <c r="R6" s="3">
        <v>2188739.04</v>
      </c>
      <c r="S6" s="3">
        <v>273592.38</v>
      </c>
      <c r="T6" s="3">
        <v>1915146.66</v>
      </c>
      <c r="U6" t="str">
        <f t="shared" si="0"/>
        <v>Not achive</v>
      </c>
    </row>
    <row r="7" spans="1:23" x14ac:dyDescent="0.3">
      <c r="A7" s="2">
        <v>800618</v>
      </c>
      <c r="B7" s="10">
        <v>45385</v>
      </c>
      <c r="C7" s="2" t="s">
        <v>51</v>
      </c>
      <c r="D7" s="2" t="s">
        <v>55</v>
      </c>
      <c r="E7" s="2" t="s">
        <v>56</v>
      </c>
      <c r="F7" s="2" t="s">
        <v>46</v>
      </c>
      <c r="G7" s="2" t="s">
        <v>47</v>
      </c>
      <c r="H7" s="2" t="s">
        <v>25</v>
      </c>
      <c r="I7" s="2" t="s">
        <v>26</v>
      </c>
      <c r="J7" s="2" t="s">
        <v>57</v>
      </c>
      <c r="K7" s="2" t="s">
        <v>58</v>
      </c>
      <c r="L7" s="2" t="s">
        <v>59</v>
      </c>
      <c r="M7" s="2">
        <v>2</v>
      </c>
      <c r="N7" s="3">
        <v>800000</v>
      </c>
      <c r="O7" s="3">
        <v>798529.9</v>
      </c>
      <c r="P7" s="4">
        <v>2</v>
      </c>
      <c r="Q7" s="2">
        <v>0</v>
      </c>
      <c r="R7" s="3">
        <v>1597059.8</v>
      </c>
      <c r="S7" s="3">
        <v>31941.200000000001</v>
      </c>
      <c r="T7" s="3">
        <v>1565118.6</v>
      </c>
      <c r="U7" t="str">
        <f t="shared" si="0"/>
        <v>Not achive</v>
      </c>
    </row>
    <row r="8" spans="1:23" x14ac:dyDescent="0.3">
      <c r="A8" s="2">
        <v>800620</v>
      </c>
      <c r="B8" s="10">
        <v>45385</v>
      </c>
      <c r="C8" s="2" t="s">
        <v>51</v>
      </c>
      <c r="D8" s="2" t="s">
        <v>55</v>
      </c>
      <c r="E8" s="2" t="s">
        <v>60</v>
      </c>
      <c r="F8" s="2" t="s">
        <v>41</v>
      </c>
      <c r="G8" s="2" t="s">
        <v>61</v>
      </c>
      <c r="H8" s="2" t="s">
        <v>25</v>
      </c>
      <c r="I8" s="2" t="s">
        <v>26</v>
      </c>
      <c r="J8" s="2" t="s">
        <v>48</v>
      </c>
      <c r="K8" s="2" t="s">
        <v>62</v>
      </c>
      <c r="L8" s="2" t="s">
        <v>37</v>
      </c>
      <c r="M8" s="2">
        <v>2</v>
      </c>
      <c r="N8" s="3">
        <v>1200000</v>
      </c>
      <c r="O8" s="3">
        <v>1201701.3999999999</v>
      </c>
      <c r="P8" s="4">
        <v>5</v>
      </c>
      <c r="Q8" s="2">
        <v>0</v>
      </c>
      <c r="R8" s="3">
        <v>2403402.7999999998</v>
      </c>
      <c r="S8" s="3">
        <v>120170.14</v>
      </c>
      <c r="T8" s="3">
        <v>2283232.66</v>
      </c>
      <c r="U8" t="str">
        <f t="shared" si="0"/>
        <v>Achive</v>
      </c>
    </row>
    <row r="9" spans="1:23" x14ac:dyDescent="0.3">
      <c r="A9" s="2">
        <v>800301</v>
      </c>
      <c r="B9" s="10">
        <v>45386</v>
      </c>
      <c r="C9" s="2" t="s">
        <v>38</v>
      </c>
      <c r="D9" s="2" t="s">
        <v>63</v>
      </c>
      <c r="E9" s="2" t="s">
        <v>64</v>
      </c>
      <c r="F9" s="2" t="s">
        <v>65</v>
      </c>
      <c r="G9" s="2" t="s">
        <v>66</v>
      </c>
      <c r="H9" s="2" t="s">
        <v>25</v>
      </c>
      <c r="I9" s="2" t="s">
        <v>67</v>
      </c>
      <c r="J9" s="2" t="s">
        <v>68</v>
      </c>
      <c r="K9" s="2" t="s">
        <v>49</v>
      </c>
      <c r="L9" s="2" t="s">
        <v>37</v>
      </c>
      <c r="M9" s="2">
        <v>2</v>
      </c>
      <c r="N9" s="3">
        <v>1200000</v>
      </c>
      <c r="O9" s="3">
        <v>1204631.77</v>
      </c>
      <c r="P9" s="4">
        <v>10</v>
      </c>
      <c r="Q9" s="2">
        <v>0</v>
      </c>
      <c r="R9" s="3">
        <v>2409263.54</v>
      </c>
      <c r="S9" s="3">
        <v>240926.35</v>
      </c>
      <c r="T9" s="3">
        <v>2168337.19</v>
      </c>
      <c r="U9" t="str">
        <f t="shared" si="0"/>
        <v>Achive</v>
      </c>
    </row>
    <row r="10" spans="1:23" x14ac:dyDescent="0.3">
      <c r="A10" s="2">
        <v>800171</v>
      </c>
      <c r="B10" s="10">
        <v>45387</v>
      </c>
      <c r="C10" s="2" t="s">
        <v>69</v>
      </c>
      <c r="D10" s="2" t="s">
        <v>70</v>
      </c>
      <c r="E10" s="2" t="s">
        <v>71</v>
      </c>
      <c r="F10" s="2" t="s">
        <v>41</v>
      </c>
      <c r="G10" s="2" t="s">
        <v>72</v>
      </c>
      <c r="H10" s="2" t="s">
        <v>25</v>
      </c>
      <c r="I10" s="2" t="s">
        <v>34</v>
      </c>
      <c r="J10" s="2" t="s">
        <v>35</v>
      </c>
      <c r="K10" s="2" t="s">
        <v>36</v>
      </c>
      <c r="L10" s="2" t="s">
        <v>73</v>
      </c>
      <c r="M10" s="2">
        <v>6</v>
      </c>
      <c r="N10" s="3">
        <v>550000</v>
      </c>
      <c r="O10" s="3">
        <v>559958.61</v>
      </c>
      <c r="P10" s="4">
        <v>5</v>
      </c>
      <c r="Q10" s="2">
        <v>0</v>
      </c>
      <c r="R10" s="3">
        <v>3359751.66</v>
      </c>
      <c r="S10" s="3">
        <v>167987.58</v>
      </c>
      <c r="T10" s="3">
        <v>3191764.08</v>
      </c>
      <c r="U10" t="str">
        <f t="shared" si="0"/>
        <v>Achive</v>
      </c>
    </row>
    <row r="11" spans="1:23" x14ac:dyDescent="0.3">
      <c r="A11" s="2">
        <v>800634</v>
      </c>
      <c r="B11" s="10">
        <v>45387</v>
      </c>
      <c r="C11" s="2" t="s">
        <v>20</v>
      </c>
      <c r="D11" s="2" t="s">
        <v>74</v>
      </c>
      <c r="E11" s="2" t="s">
        <v>75</v>
      </c>
      <c r="F11" s="2" t="s">
        <v>23</v>
      </c>
      <c r="G11" s="2" t="s">
        <v>54</v>
      </c>
      <c r="H11" s="2" t="s">
        <v>25</v>
      </c>
      <c r="I11" s="2" t="s">
        <v>26</v>
      </c>
      <c r="J11" s="2" t="s">
        <v>76</v>
      </c>
      <c r="K11" s="2" t="s">
        <v>77</v>
      </c>
      <c r="L11" s="2" t="s">
        <v>78</v>
      </c>
      <c r="M11" s="2">
        <v>3</v>
      </c>
      <c r="N11" s="3">
        <v>700000</v>
      </c>
      <c r="O11" s="3">
        <v>708030.78</v>
      </c>
      <c r="P11" s="4">
        <v>10</v>
      </c>
      <c r="Q11" s="2">
        <v>0</v>
      </c>
      <c r="R11" s="3">
        <v>2124092.34</v>
      </c>
      <c r="S11" s="3">
        <v>212409.23</v>
      </c>
      <c r="T11" s="3">
        <v>1911683.11</v>
      </c>
      <c r="U11" t="str">
        <f t="shared" si="0"/>
        <v>Not achive</v>
      </c>
    </row>
    <row r="12" spans="1:23" x14ac:dyDescent="0.3">
      <c r="A12" s="2">
        <v>800252</v>
      </c>
      <c r="B12" s="10">
        <v>45389</v>
      </c>
      <c r="C12" s="2" t="s">
        <v>38</v>
      </c>
      <c r="D12" s="2" t="s">
        <v>79</v>
      </c>
      <c r="E12" s="2" t="s">
        <v>80</v>
      </c>
      <c r="F12" s="2" t="s">
        <v>41</v>
      </c>
      <c r="G12" s="2" t="s">
        <v>54</v>
      </c>
      <c r="H12" s="2" t="s">
        <v>25</v>
      </c>
      <c r="I12" s="2" t="s">
        <v>26</v>
      </c>
      <c r="J12" s="2" t="s">
        <v>81</v>
      </c>
      <c r="K12" s="2" t="s">
        <v>82</v>
      </c>
      <c r="L12" s="2" t="s">
        <v>50</v>
      </c>
      <c r="M12" s="2">
        <v>1</v>
      </c>
      <c r="N12" s="3">
        <v>1700000</v>
      </c>
      <c r="O12" s="3">
        <v>1711966.3</v>
      </c>
      <c r="P12" s="4">
        <v>0</v>
      </c>
      <c r="Q12" s="2">
        <v>0</v>
      </c>
      <c r="R12" s="3">
        <v>1711966.3</v>
      </c>
      <c r="S12" s="3">
        <v>0</v>
      </c>
      <c r="T12" s="3">
        <v>1711966.3</v>
      </c>
      <c r="U12" t="str">
        <f t="shared" si="0"/>
        <v>Not achive</v>
      </c>
    </row>
    <row r="13" spans="1:23" x14ac:dyDescent="0.3">
      <c r="A13" s="2">
        <v>800310</v>
      </c>
      <c r="B13" s="10">
        <v>45390</v>
      </c>
      <c r="C13" s="2" t="s">
        <v>69</v>
      </c>
      <c r="D13" s="2" t="s">
        <v>83</v>
      </c>
      <c r="E13" s="2" t="s">
        <v>84</v>
      </c>
      <c r="F13" s="2" t="s">
        <v>23</v>
      </c>
      <c r="G13" s="2" t="s">
        <v>72</v>
      </c>
      <c r="H13" s="2" t="s">
        <v>25</v>
      </c>
      <c r="I13" s="2" t="s">
        <v>67</v>
      </c>
      <c r="J13" s="2" t="s">
        <v>85</v>
      </c>
      <c r="K13" s="2" t="s">
        <v>86</v>
      </c>
      <c r="L13" s="2" t="s">
        <v>87</v>
      </c>
      <c r="M13" s="2">
        <v>1</v>
      </c>
      <c r="N13" s="3">
        <v>1500000</v>
      </c>
      <c r="O13" s="3">
        <v>1457829.4</v>
      </c>
      <c r="P13" s="4">
        <v>2</v>
      </c>
      <c r="Q13" s="2">
        <v>0</v>
      </c>
      <c r="R13" s="3">
        <v>1457829.4</v>
      </c>
      <c r="S13" s="3">
        <v>29156.59</v>
      </c>
      <c r="T13" s="3">
        <v>1428672.81</v>
      </c>
      <c r="U13" t="str">
        <f t="shared" si="0"/>
        <v>Not achive</v>
      </c>
    </row>
    <row r="14" spans="1:23" x14ac:dyDescent="0.3">
      <c r="A14" s="2">
        <v>800450</v>
      </c>
      <c r="B14" s="10">
        <v>45390</v>
      </c>
      <c r="C14" s="2" t="s">
        <v>20</v>
      </c>
      <c r="D14" s="2" t="s">
        <v>30</v>
      </c>
      <c r="E14" s="2" t="s">
        <v>88</v>
      </c>
      <c r="F14" s="2" t="s">
        <v>46</v>
      </c>
      <c r="G14" s="2" t="s">
        <v>72</v>
      </c>
      <c r="H14" s="2" t="s">
        <v>25</v>
      </c>
      <c r="I14" s="2" t="s">
        <v>26</v>
      </c>
      <c r="J14" s="2" t="s">
        <v>48</v>
      </c>
      <c r="K14" s="2" t="s">
        <v>89</v>
      </c>
      <c r="L14" s="2" t="s">
        <v>73</v>
      </c>
      <c r="M14" s="2">
        <v>1</v>
      </c>
      <c r="N14" s="3">
        <v>1200000</v>
      </c>
      <c r="O14" s="3">
        <v>1175595.5900000001</v>
      </c>
      <c r="P14" s="4">
        <v>0</v>
      </c>
      <c r="Q14" s="2">
        <v>0</v>
      </c>
      <c r="R14" s="3">
        <v>1175595.5900000001</v>
      </c>
      <c r="S14" s="3">
        <v>0</v>
      </c>
      <c r="T14" s="3">
        <v>1175595.5900000001</v>
      </c>
      <c r="U14" t="str">
        <f t="shared" si="0"/>
        <v>Not achive</v>
      </c>
    </row>
    <row r="15" spans="1:23" x14ac:dyDescent="0.3">
      <c r="A15" s="2">
        <v>800097</v>
      </c>
      <c r="B15" s="10">
        <v>45391</v>
      </c>
      <c r="C15" s="2" t="s">
        <v>69</v>
      </c>
      <c r="D15" s="2" t="s">
        <v>83</v>
      </c>
      <c r="E15" s="2" t="s">
        <v>84</v>
      </c>
      <c r="F15" s="2" t="s">
        <v>46</v>
      </c>
      <c r="G15" s="2" t="s">
        <v>61</v>
      </c>
      <c r="H15" s="2" t="s">
        <v>25</v>
      </c>
      <c r="I15" s="2" t="s">
        <v>26</v>
      </c>
      <c r="J15" s="2" t="s">
        <v>81</v>
      </c>
      <c r="K15" s="2" t="s">
        <v>49</v>
      </c>
      <c r="L15" s="2" t="s">
        <v>73</v>
      </c>
      <c r="M15" s="2">
        <v>1</v>
      </c>
      <c r="N15" s="3">
        <v>1700000</v>
      </c>
      <c r="O15" s="3">
        <v>1679450.59</v>
      </c>
      <c r="P15" s="4">
        <v>2</v>
      </c>
      <c r="Q15" s="2">
        <v>0</v>
      </c>
      <c r="R15" s="3">
        <v>1679450.59</v>
      </c>
      <c r="S15" s="3">
        <v>33589.01</v>
      </c>
      <c r="T15" s="3">
        <v>1645861.58</v>
      </c>
      <c r="U15" t="str">
        <f t="shared" si="0"/>
        <v>Not achive</v>
      </c>
    </row>
    <row r="16" spans="1:23" x14ac:dyDescent="0.3">
      <c r="A16" s="2">
        <v>800131</v>
      </c>
      <c r="B16" s="10">
        <v>45391</v>
      </c>
      <c r="C16" s="2" t="s">
        <v>69</v>
      </c>
      <c r="D16" s="2" t="s">
        <v>70</v>
      </c>
      <c r="E16" s="2" t="s">
        <v>71</v>
      </c>
      <c r="F16" s="2" t="s">
        <v>41</v>
      </c>
      <c r="G16" s="2" t="s">
        <v>90</v>
      </c>
      <c r="H16" s="2" t="s">
        <v>25</v>
      </c>
      <c r="I16" s="2" t="s">
        <v>67</v>
      </c>
      <c r="J16" s="2" t="s">
        <v>85</v>
      </c>
      <c r="K16" s="2" t="s">
        <v>91</v>
      </c>
      <c r="L16" s="2" t="s">
        <v>92</v>
      </c>
      <c r="M16" s="2">
        <v>2</v>
      </c>
      <c r="N16" s="3">
        <v>1500000</v>
      </c>
      <c r="O16" s="3">
        <v>1459710.54</v>
      </c>
      <c r="P16" s="4">
        <v>12.5</v>
      </c>
      <c r="Q16" s="2">
        <v>0</v>
      </c>
      <c r="R16" s="3">
        <v>2919421.08</v>
      </c>
      <c r="S16" s="3">
        <v>364927.64</v>
      </c>
      <c r="T16" s="3">
        <v>2554493.44</v>
      </c>
      <c r="U16" t="str">
        <f t="shared" si="0"/>
        <v>Achive</v>
      </c>
    </row>
    <row r="17" spans="1:21" x14ac:dyDescent="0.3">
      <c r="A17" s="2">
        <v>800516</v>
      </c>
      <c r="B17" s="10">
        <v>45391</v>
      </c>
      <c r="C17" s="2" t="s">
        <v>69</v>
      </c>
      <c r="D17" s="2" t="s">
        <v>70</v>
      </c>
      <c r="E17" s="2" t="s">
        <v>93</v>
      </c>
      <c r="F17" s="2" t="s">
        <v>41</v>
      </c>
      <c r="G17" s="2" t="s">
        <v>94</v>
      </c>
      <c r="H17" s="2" t="s">
        <v>25</v>
      </c>
      <c r="I17" s="2" t="s">
        <v>26</v>
      </c>
      <c r="J17" s="2" t="s">
        <v>81</v>
      </c>
      <c r="K17" s="2" t="s">
        <v>77</v>
      </c>
      <c r="L17" s="2" t="s">
        <v>37</v>
      </c>
      <c r="M17" s="2">
        <v>3</v>
      </c>
      <c r="N17" s="3">
        <v>1700000</v>
      </c>
      <c r="O17" s="3">
        <v>1731021.08</v>
      </c>
      <c r="P17" s="4">
        <v>12.5</v>
      </c>
      <c r="Q17" s="2">
        <v>0</v>
      </c>
      <c r="R17" s="3">
        <v>5193063.24</v>
      </c>
      <c r="S17" s="3">
        <v>649132.91</v>
      </c>
      <c r="T17" s="3">
        <v>4543930.33</v>
      </c>
      <c r="U17" t="str">
        <f t="shared" si="0"/>
        <v>Achive</v>
      </c>
    </row>
    <row r="18" spans="1:21" x14ac:dyDescent="0.3">
      <c r="A18" s="2">
        <v>800564</v>
      </c>
      <c r="B18" s="10">
        <v>45391</v>
      </c>
      <c r="C18" s="2" t="s">
        <v>69</v>
      </c>
      <c r="D18" s="2" t="s">
        <v>95</v>
      </c>
      <c r="E18" s="2" t="s">
        <v>96</v>
      </c>
      <c r="F18" s="2" t="s">
        <v>32</v>
      </c>
      <c r="G18" s="2" t="s">
        <v>33</v>
      </c>
      <c r="H18" s="2" t="s">
        <v>25</v>
      </c>
      <c r="I18" s="2" t="s">
        <v>43</v>
      </c>
      <c r="J18" s="2" t="s">
        <v>44</v>
      </c>
      <c r="K18" s="2" t="s">
        <v>45</v>
      </c>
      <c r="L18" s="2" t="s">
        <v>87</v>
      </c>
      <c r="M18" s="2">
        <v>4</v>
      </c>
      <c r="N18" s="3">
        <v>800000</v>
      </c>
      <c r="O18" s="3">
        <v>812641.25</v>
      </c>
      <c r="P18" s="4">
        <v>0</v>
      </c>
      <c r="Q18" s="2">
        <v>0</v>
      </c>
      <c r="R18" s="3">
        <v>3250565</v>
      </c>
      <c r="S18" s="3">
        <v>0</v>
      </c>
      <c r="T18" s="3">
        <v>3250565</v>
      </c>
      <c r="U18" t="str">
        <f t="shared" si="0"/>
        <v>Achive</v>
      </c>
    </row>
    <row r="19" spans="1:21" x14ac:dyDescent="0.3">
      <c r="A19" s="2">
        <v>800272</v>
      </c>
      <c r="B19" s="10">
        <v>45393</v>
      </c>
      <c r="C19" s="2" t="s">
        <v>69</v>
      </c>
      <c r="D19" s="2" t="s">
        <v>83</v>
      </c>
      <c r="E19" s="2" t="s">
        <v>97</v>
      </c>
      <c r="F19" s="2" t="s">
        <v>23</v>
      </c>
      <c r="G19" s="2" t="s">
        <v>94</v>
      </c>
      <c r="H19" s="2" t="s">
        <v>25</v>
      </c>
      <c r="I19" s="2" t="s">
        <v>67</v>
      </c>
      <c r="J19" s="2" t="s">
        <v>68</v>
      </c>
      <c r="K19" s="2" t="s">
        <v>49</v>
      </c>
      <c r="L19" s="2" t="s">
        <v>37</v>
      </c>
      <c r="M19" s="2">
        <v>1</v>
      </c>
      <c r="N19" s="3">
        <v>1200000</v>
      </c>
      <c r="O19" s="3">
        <v>1169415.44</v>
      </c>
      <c r="P19" s="4">
        <v>2</v>
      </c>
      <c r="Q19" s="2">
        <v>0</v>
      </c>
      <c r="R19" s="3">
        <v>1169415.44</v>
      </c>
      <c r="S19" s="3">
        <v>23388.31</v>
      </c>
      <c r="T19" s="3">
        <v>1146027.1299999999</v>
      </c>
      <c r="U19" t="str">
        <f t="shared" si="0"/>
        <v>Not achive</v>
      </c>
    </row>
    <row r="20" spans="1:21" x14ac:dyDescent="0.3">
      <c r="A20" s="2">
        <v>800183</v>
      </c>
      <c r="B20" s="10">
        <v>45394</v>
      </c>
      <c r="C20" s="2" t="s">
        <v>20</v>
      </c>
      <c r="D20" s="2" t="s">
        <v>21</v>
      </c>
      <c r="E20" s="2" t="s">
        <v>98</v>
      </c>
      <c r="F20" s="2" t="s">
        <v>65</v>
      </c>
      <c r="G20" s="2" t="s">
        <v>61</v>
      </c>
      <c r="H20" s="2" t="s">
        <v>25</v>
      </c>
      <c r="I20" s="2" t="s">
        <v>26</v>
      </c>
      <c r="J20" s="2" t="s">
        <v>57</v>
      </c>
      <c r="K20" s="2" t="s">
        <v>99</v>
      </c>
      <c r="L20" s="2" t="s">
        <v>87</v>
      </c>
      <c r="M20" s="2">
        <v>3</v>
      </c>
      <c r="N20" s="3">
        <v>800000</v>
      </c>
      <c r="O20" s="3">
        <v>781093.88</v>
      </c>
      <c r="P20" s="4">
        <v>2</v>
      </c>
      <c r="Q20" s="2">
        <v>0</v>
      </c>
      <c r="R20" s="3">
        <v>2343281.64</v>
      </c>
      <c r="S20" s="3">
        <v>46865.63</v>
      </c>
      <c r="T20" s="3">
        <v>2296416.0099999998</v>
      </c>
      <c r="U20" t="str">
        <f t="shared" si="0"/>
        <v>Achive</v>
      </c>
    </row>
    <row r="21" spans="1:21" x14ac:dyDescent="0.3">
      <c r="A21" s="2">
        <v>800313</v>
      </c>
      <c r="B21" s="10">
        <v>45394</v>
      </c>
      <c r="C21" s="2" t="s">
        <v>38</v>
      </c>
      <c r="D21" s="2" t="s">
        <v>63</v>
      </c>
      <c r="E21" s="2" t="s">
        <v>64</v>
      </c>
      <c r="F21" s="2" t="s">
        <v>46</v>
      </c>
      <c r="G21" s="2" t="s">
        <v>100</v>
      </c>
      <c r="H21" s="2" t="s">
        <v>25</v>
      </c>
      <c r="I21" s="2" t="s">
        <v>43</v>
      </c>
      <c r="J21" s="2" t="s">
        <v>101</v>
      </c>
      <c r="K21" s="2" t="s">
        <v>102</v>
      </c>
      <c r="L21" s="2" t="s">
        <v>29</v>
      </c>
      <c r="M21" s="2">
        <v>2</v>
      </c>
      <c r="N21" s="3">
        <v>1000000</v>
      </c>
      <c r="O21" s="3">
        <v>981216.07</v>
      </c>
      <c r="P21" s="4">
        <v>0</v>
      </c>
      <c r="Q21" s="2">
        <v>0</v>
      </c>
      <c r="R21" s="3">
        <v>1962432.14</v>
      </c>
      <c r="S21" s="3">
        <v>0</v>
      </c>
      <c r="T21" s="3">
        <v>1962432.14</v>
      </c>
      <c r="U21" t="str">
        <f t="shared" si="0"/>
        <v>Not achive</v>
      </c>
    </row>
    <row r="22" spans="1:21" x14ac:dyDescent="0.3">
      <c r="A22" s="2">
        <v>800548</v>
      </c>
      <c r="B22" s="10">
        <v>45395</v>
      </c>
      <c r="C22" s="2" t="s">
        <v>69</v>
      </c>
      <c r="D22" s="2" t="s">
        <v>83</v>
      </c>
      <c r="E22" s="2" t="s">
        <v>97</v>
      </c>
      <c r="F22" s="2" t="s">
        <v>65</v>
      </c>
      <c r="G22" s="2" t="s">
        <v>24</v>
      </c>
      <c r="H22" s="2" t="s">
        <v>25</v>
      </c>
      <c r="I22" s="2" t="s">
        <v>26</v>
      </c>
      <c r="J22" s="2" t="s">
        <v>57</v>
      </c>
      <c r="K22" s="2" t="s">
        <v>103</v>
      </c>
      <c r="L22" s="2" t="s">
        <v>37</v>
      </c>
      <c r="M22" s="2">
        <v>3</v>
      </c>
      <c r="N22" s="3">
        <v>800000</v>
      </c>
      <c r="O22" s="3">
        <v>815018.63</v>
      </c>
      <c r="P22" s="4">
        <v>5</v>
      </c>
      <c r="Q22" s="2">
        <v>0</v>
      </c>
      <c r="R22" s="3">
        <v>2445055.89</v>
      </c>
      <c r="S22" s="3">
        <v>122252.79</v>
      </c>
      <c r="T22" s="3">
        <v>2322803.1</v>
      </c>
      <c r="U22" t="str">
        <f t="shared" si="0"/>
        <v>Achive</v>
      </c>
    </row>
    <row r="23" spans="1:21" x14ac:dyDescent="0.3">
      <c r="A23" s="2">
        <v>800448</v>
      </c>
      <c r="B23" s="10">
        <v>45396</v>
      </c>
      <c r="C23" s="2" t="s">
        <v>51</v>
      </c>
      <c r="D23" s="2" t="s">
        <v>55</v>
      </c>
      <c r="E23" s="2" t="s">
        <v>104</v>
      </c>
      <c r="F23" s="2" t="s">
        <v>23</v>
      </c>
      <c r="G23" s="2" t="s">
        <v>47</v>
      </c>
      <c r="H23" s="2" t="s">
        <v>25</v>
      </c>
      <c r="I23" s="2" t="s">
        <v>26</v>
      </c>
      <c r="J23" s="2" t="s">
        <v>48</v>
      </c>
      <c r="K23" s="2" t="s">
        <v>62</v>
      </c>
      <c r="L23" s="2" t="s">
        <v>78</v>
      </c>
      <c r="M23" s="2">
        <v>1</v>
      </c>
      <c r="N23" s="3">
        <v>1200000</v>
      </c>
      <c r="O23" s="3">
        <v>1210746.47</v>
      </c>
      <c r="P23" s="4">
        <v>0</v>
      </c>
      <c r="Q23" s="2">
        <v>0</v>
      </c>
      <c r="R23" s="3">
        <v>1210746.47</v>
      </c>
      <c r="S23" s="3">
        <v>0</v>
      </c>
      <c r="T23" s="3">
        <v>1210746.47</v>
      </c>
      <c r="U23" t="str">
        <f t="shared" si="0"/>
        <v>Not achive</v>
      </c>
    </row>
    <row r="24" spans="1:21" x14ac:dyDescent="0.3">
      <c r="A24" s="2">
        <v>800603</v>
      </c>
      <c r="B24" s="10">
        <v>45397</v>
      </c>
      <c r="C24" s="2" t="s">
        <v>69</v>
      </c>
      <c r="D24" s="2" t="s">
        <v>83</v>
      </c>
      <c r="E24" s="2" t="s">
        <v>84</v>
      </c>
      <c r="F24" s="2" t="s">
        <v>32</v>
      </c>
      <c r="G24" s="2" t="s">
        <v>61</v>
      </c>
      <c r="H24" s="2" t="s">
        <v>25</v>
      </c>
      <c r="I24" s="2" t="s">
        <v>26</v>
      </c>
      <c r="J24" s="2" t="s">
        <v>105</v>
      </c>
      <c r="K24" s="2" t="s">
        <v>89</v>
      </c>
      <c r="L24" s="2" t="s">
        <v>92</v>
      </c>
      <c r="M24" s="2">
        <v>3</v>
      </c>
      <c r="N24" s="3">
        <v>950000</v>
      </c>
      <c r="O24" s="3">
        <v>960137.83</v>
      </c>
      <c r="P24" s="4">
        <v>7.5</v>
      </c>
      <c r="Q24" s="2">
        <v>0</v>
      </c>
      <c r="R24" s="3">
        <v>2880413.49</v>
      </c>
      <c r="S24" s="3">
        <v>216031.01</v>
      </c>
      <c r="T24" s="3">
        <v>2664382.48</v>
      </c>
      <c r="U24" t="str">
        <f t="shared" si="0"/>
        <v>Achive</v>
      </c>
    </row>
    <row r="25" spans="1:21" x14ac:dyDescent="0.3">
      <c r="A25" s="2">
        <v>800001</v>
      </c>
      <c r="B25" s="10">
        <v>45399</v>
      </c>
      <c r="C25" s="2" t="s">
        <v>51</v>
      </c>
      <c r="D25" s="2" t="s">
        <v>106</v>
      </c>
      <c r="E25" s="2" t="s">
        <v>107</v>
      </c>
      <c r="F25" s="2" t="s">
        <v>46</v>
      </c>
      <c r="G25" s="2" t="s">
        <v>90</v>
      </c>
      <c r="H25" s="2" t="s">
        <v>25</v>
      </c>
      <c r="I25" s="2" t="s">
        <v>26</v>
      </c>
      <c r="J25" s="2" t="s">
        <v>57</v>
      </c>
      <c r="K25" s="2" t="s">
        <v>99</v>
      </c>
      <c r="L25" s="2" t="s">
        <v>50</v>
      </c>
      <c r="M25" s="2">
        <v>3</v>
      </c>
      <c r="N25" s="3">
        <v>800000</v>
      </c>
      <c r="O25" s="3">
        <v>805626.71</v>
      </c>
      <c r="P25" s="4">
        <v>0</v>
      </c>
      <c r="Q25" s="2">
        <v>0</v>
      </c>
      <c r="R25" s="3">
        <v>2416880.13</v>
      </c>
      <c r="S25" s="3">
        <v>0</v>
      </c>
      <c r="T25" s="3">
        <v>2416880.13</v>
      </c>
      <c r="U25" t="str">
        <f t="shared" si="0"/>
        <v>Achive</v>
      </c>
    </row>
    <row r="26" spans="1:21" x14ac:dyDescent="0.3">
      <c r="A26" s="2">
        <v>800421</v>
      </c>
      <c r="B26" s="10">
        <v>45399</v>
      </c>
      <c r="C26" s="2" t="s">
        <v>20</v>
      </c>
      <c r="D26" s="2" t="s">
        <v>30</v>
      </c>
      <c r="E26" s="2" t="s">
        <v>88</v>
      </c>
      <c r="F26" s="2" t="s">
        <v>41</v>
      </c>
      <c r="G26" s="2" t="s">
        <v>61</v>
      </c>
      <c r="H26" s="2" t="s">
        <v>25</v>
      </c>
      <c r="I26" s="2" t="s">
        <v>67</v>
      </c>
      <c r="J26" s="2" t="s">
        <v>108</v>
      </c>
      <c r="K26" s="2" t="s">
        <v>91</v>
      </c>
      <c r="L26" s="2" t="s">
        <v>50</v>
      </c>
      <c r="M26" s="2">
        <v>1</v>
      </c>
      <c r="N26" s="3">
        <v>1800000</v>
      </c>
      <c r="O26" s="3">
        <v>1821167.4</v>
      </c>
      <c r="P26" s="4">
        <v>0</v>
      </c>
      <c r="Q26" s="2">
        <v>0</v>
      </c>
      <c r="R26" s="3">
        <v>1821167.4</v>
      </c>
      <c r="S26" s="3">
        <v>0</v>
      </c>
      <c r="T26" s="3">
        <v>1821167.4</v>
      </c>
      <c r="U26" t="str">
        <f t="shared" si="0"/>
        <v>Not achive</v>
      </c>
    </row>
    <row r="27" spans="1:21" x14ac:dyDescent="0.3">
      <c r="A27" s="2">
        <v>800078</v>
      </c>
      <c r="B27" s="10">
        <v>45401</v>
      </c>
      <c r="C27" s="2" t="s">
        <v>20</v>
      </c>
      <c r="D27" s="2" t="s">
        <v>21</v>
      </c>
      <c r="E27" s="2" t="s">
        <v>22</v>
      </c>
      <c r="F27" s="2" t="s">
        <v>23</v>
      </c>
      <c r="G27" s="2" t="s">
        <v>33</v>
      </c>
      <c r="H27" s="2" t="s">
        <v>25</v>
      </c>
      <c r="I27" s="2" t="s">
        <v>43</v>
      </c>
      <c r="J27" s="2" t="s">
        <v>101</v>
      </c>
      <c r="K27" s="2" t="s">
        <v>102</v>
      </c>
      <c r="L27" s="2" t="s">
        <v>87</v>
      </c>
      <c r="M27" s="2">
        <v>6</v>
      </c>
      <c r="N27" s="3">
        <v>1000000</v>
      </c>
      <c r="O27" s="3">
        <v>1009619.68</v>
      </c>
      <c r="P27" s="4">
        <v>0</v>
      </c>
      <c r="Q27" s="2">
        <v>0</v>
      </c>
      <c r="R27" s="3">
        <v>6057718.0800000001</v>
      </c>
      <c r="S27" s="3">
        <v>0</v>
      </c>
      <c r="T27" s="3">
        <v>6057718.0800000001</v>
      </c>
      <c r="U27" t="str">
        <f t="shared" si="0"/>
        <v>Achive</v>
      </c>
    </row>
    <row r="28" spans="1:21" x14ac:dyDescent="0.3">
      <c r="A28" s="2">
        <v>800474</v>
      </c>
      <c r="B28" s="10">
        <v>45401</v>
      </c>
      <c r="C28" s="2" t="s">
        <v>69</v>
      </c>
      <c r="D28" s="2" t="s">
        <v>70</v>
      </c>
      <c r="E28" s="2" t="s">
        <v>93</v>
      </c>
      <c r="F28" s="2" t="s">
        <v>32</v>
      </c>
      <c r="G28" s="2" t="s">
        <v>47</v>
      </c>
      <c r="H28" s="2" t="s">
        <v>25</v>
      </c>
      <c r="I28" s="2" t="s">
        <v>34</v>
      </c>
      <c r="J28" s="2" t="s">
        <v>35</v>
      </c>
      <c r="K28" s="2" t="s">
        <v>36</v>
      </c>
      <c r="L28" s="2" t="s">
        <v>73</v>
      </c>
      <c r="M28" s="2">
        <v>1</v>
      </c>
      <c r="N28" s="3">
        <v>550000</v>
      </c>
      <c r="O28" s="3">
        <v>556108.81000000006</v>
      </c>
      <c r="P28" s="4">
        <v>0</v>
      </c>
      <c r="Q28" s="2">
        <v>0</v>
      </c>
      <c r="R28" s="3">
        <v>556108.81000000006</v>
      </c>
      <c r="S28" s="3">
        <v>0</v>
      </c>
      <c r="T28" s="3">
        <v>556108.81000000006</v>
      </c>
      <c r="U28" t="str">
        <f t="shared" si="0"/>
        <v>Not achive</v>
      </c>
    </row>
    <row r="29" spans="1:21" x14ac:dyDescent="0.3">
      <c r="A29" s="2">
        <v>800170</v>
      </c>
      <c r="B29" s="10">
        <v>45402</v>
      </c>
      <c r="C29" s="2" t="s">
        <v>20</v>
      </c>
      <c r="D29" s="2" t="s">
        <v>30</v>
      </c>
      <c r="E29" s="2" t="s">
        <v>31</v>
      </c>
      <c r="F29" s="2" t="s">
        <v>65</v>
      </c>
      <c r="G29" s="2" t="s">
        <v>24</v>
      </c>
      <c r="H29" s="2" t="s">
        <v>25</v>
      </c>
      <c r="I29" s="2" t="s">
        <v>67</v>
      </c>
      <c r="J29" s="2" t="s">
        <v>68</v>
      </c>
      <c r="K29" s="2" t="s">
        <v>91</v>
      </c>
      <c r="L29" s="2" t="s">
        <v>29</v>
      </c>
      <c r="M29" s="2">
        <v>1</v>
      </c>
      <c r="N29" s="3">
        <v>1200000</v>
      </c>
      <c r="O29" s="3">
        <v>1203137.92</v>
      </c>
      <c r="P29" s="4">
        <v>2</v>
      </c>
      <c r="Q29" s="2">
        <v>0</v>
      </c>
      <c r="R29" s="3">
        <v>1203137.92</v>
      </c>
      <c r="S29" s="3">
        <v>24062.76</v>
      </c>
      <c r="T29" s="3">
        <v>1179075.1599999999</v>
      </c>
      <c r="U29" t="str">
        <f t="shared" si="0"/>
        <v>Not achive</v>
      </c>
    </row>
    <row r="30" spans="1:21" x14ac:dyDescent="0.3">
      <c r="A30" s="2">
        <v>800023</v>
      </c>
      <c r="B30" s="10">
        <v>45403</v>
      </c>
      <c r="C30" s="2" t="s">
        <v>51</v>
      </c>
      <c r="D30" s="2" t="s">
        <v>52</v>
      </c>
      <c r="E30" s="2" t="s">
        <v>109</v>
      </c>
      <c r="F30" s="2" t="s">
        <v>32</v>
      </c>
      <c r="G30" s="2" t="s">
        <v>61</v>
      </c>
      <c r="H30" s="2" t="s">
        <v>25</v>
      </c>
      <c r="I30" s="2" t="s">
        <v>26</v>
      </c>
      <c r="J30" s="2" t="s">
        <v>81</v>
      </c>
      <c r="K30" s="2" t="s">
        <v>49</v>
      </c>
      <c r="L30" s="2" t="s">
        <v>87</v>
      </c>
      <c r="M30" s="2">
        <v>1</v>
      </c>
      <c r="N30" s="3">
        <v>1700000</v>
      </c>
      <c r="O30" s="3">
        <v>1729035.67</v>
      </c>
      <c r="P30" s="4">
        <v>2</v>
      </c>
      <c r="Q30" s="2">
        <v>0</v>
      </c>
      <c r="R30" s="3">
        <v>1729035.67</v>
      </c>
      <c r="S30" s="3">
        <v>34580.71</v>
      </c>
      <c r="T30" s="3">
        <v>1694454.96</v>
      </c>
      <c r="U30" t="str">
        <f t="shared" si="0"/>
        <v>Not achive</v>
      </c>
    </row>
    <row r="31" spans="1:21" x14ac:dyDescent="0.3">
      <c r="A31" s="2">
        <v>800111</v>
      </c>
      <c r="B31" s="10">
        <v>45404</v>
      </c>
      <c r="C31" s="2" t="s">
        <v>51</v>
      </c>
      <c r="D31" s="2" t="s">
        <v>110</v>
      </c>
      <c r="E31" s="2" t="s">
        <v>111</v>
      </c>
      <c r="F31" s="2" t="s">
        <v>23</v>
      </c>
      <c r="G31" s="2" t="s">
        <v>100</v>
      </c>
      <c r="H31" s="2" t="s">
        <v>25</v>
      </c>
      <c r="I31" s="2" t="s">
        <v>26</v>
      </c>
      <c r="J31" s="2" t="s">
        <v>57</v>
      </c>
      <c r="K31" s="2" t="s">
        <v>103</v>
      </c>
      <c r="L31" s="2" t="s">
        <v>59</v>
      </c>
      <c r="M31" s="2">
        <v>3</v>
      </c>
      <c r="N31" s="3">
        <v>800000</v>
      </c>
      <c r="O31" s="3">
        <v>785204.43</v>
      </c>
      <c r="P31" s="4">
        <v>7.5</v>
      </c>
      <c r="Q31" s="2">
        <v>0</v>
      </c>
      <c r="R31" s="3">
        <v>2355613.29</v>
      </c>
      <c r="S31" s="3">
        <v>176671</v>
      </c>
      <c r="T31" s="3">
        <v>2178942.29</v>
      </c>
      <c r="U31" t="str">
        <f t="shared" si="0"/>
        <v>Achive</v>
      </c>
    </row>
    <row r="32" spans="1:21" x14ac:dyDescent="0.3">
      <c r="A32" s="2">
        <v>800135</v>
      </c>
      <c r="B32" s="10">
        <v>45404</v>
      </c>
      <c r="C32" s="2" t="s">
        <v>20</v>
      </c>
      <c r="D32" s="2" t="s">
        <v>30</v>
      </c>
      <c r="E32" s="2" t="s">
        <v>88</v>
      </c>
      <c r="F32" s="2" t="s">
        <v>46</v>
      </c>
      <c r="G32" s="2" t="s">
        <v>100</v>
      </c>
      <c r="H32" s="2" t="s">
        <v>25</v>
      </c>
      <c r="I32" s="2" t="s">
        <v>26</v>
      </c>
      <c r="J32" s="2" t="s">
        <v>27</v>
      </c>
      <c r="K32" s="2" t="s">
        <v>99</v>
      </c>
      <c r="L32" s="2" t="s">
        <v>37</v>
      </c>
      <c r="M32" s="2">
        <v>1</v>
      </c>
      <c r="N32" s="3">
        <v>750000</v>
      </c>
      <c r="O32" s="3">
        <v>738504.1</v>
      </c>
      <c r="P32" s="4">
        <v>0</v>
      </c>
      <c r="Q32" s="2">
        <v>0</v>
      </c>
      <c r="R32" s="3">
        <v>738504.1</v>
      </c>
      <c r="S32" s="3">
        <v>0</v>
      </c>
      <c r="T32" s="3">
        <v>738504.1</v>
      </c>
      <c r="U32" t="str">
        <f t="shared" si="0"/>
        <v>Not achive</v>
      </c>
    </row>
    <row r="33" spans="1:21" x14ac:dyDescent="0.3">
      <c r="A33" s="2">
        <v>800124</v>
      </c>
      <c r="B33" s="10">
        <v>45405</v>
      </c>
      <c r="C33" s="2" t="s">
        <v>51</v>
      </c>
      <c r="D33" s="2" t="s">
        <v>106</v>
      </c>
      <c r="E33" s="2" t="s">
        <v>107</v>
      </c>
      <c r="F33" s="2" t="s">
        <v>32</v>
      </c>
      <c r="G33" s="2" t="s">
        <v>100</v>
      </c>
      <c r="H33" s="2" t="s">
        <v>25</v>
      </c>
      <c r="I33" s="2" t="s">
        <v>67</v>
      </c>
      <c r="J33" s="2" t="s">
        <v>112</v>
      </c>
      <c r="K33" s="2" t="s">
        <v>99</v>
      </c>
      <c r="L33" s="2" t="s">
        <v>73</v>
      </c>
      <c r="M33" s="2">
        <v>1</v>
      </c>
      <c r="N33" s="3">
        <v>1250000</v>
      </c>
      <c r="O33" s="3">
        <v>1223802.8700000001</v>
      </c>
      <c r="P33" s="4">
        <v>0</v>
      </c>
      <c r="Q33" s="2">
        <v>0</v>
      </c>
      <c r="R33" s="3">
        <v>1223802.8700000001</v>
      </c>
      <c r="S33" s="3">
        <v>0</v>
      </c>
      <c r="T33" s="3">
        <v>1223802.8700000001</v>
      </c>
      <c r="U33" t="str">
        <f t="shared" si="0"/>
        <v>Not achive</v>
      </c>
    </row>
    <row r="34" spans="1:21" x14ac:dyDescent="0.3">
      <c r="A34" s="2">
        <v>800185</v>
      </c>
      <c r="B34" s="10">
        <v>45405</v>
      </c>
      <c r="C34" s="2" t="s">
        <v>51</v>
      </c>
      <c r="D34" s="2" t="s">
        <v>110</v>
      </c>
      <c r="E34" s="2" t="s">
        <v>111</v>
      </c>
      <c r="F34" s="2" t="s">
        <v>41</v>
      </c>
      <c r="G34" s="2" t="s">
        <v>90</v>
      </c>
      <c r="H34" s="2" t="s">
        <v>25</v>
      </c>
      <c r="I34" s="2" t="s">
        <v>26</v>
      </c>
      <c r="J34" s="2" t="s">
        <v>76</v>
      </c>
      <c r="K34" s="2" t="s">
        <v>77</v>
      </c>
      <c r="L34" s="2" t="s">
        <v>50</v>
      </c>
      <c r="M34" s="2">
        <v>3</v>
      </c>
      <c r="N34" s="3">
        <v>700000</v>
      </c>
      <c r="O34" s="3">
        <v>680175.17</v>
      </c>
      <c r="P34" s="4">
        <v>0</v>
      </c>
      <c r="Q34" s="2">
        <v>0</v>
      </c>
      <c r="R34" s="3">
        <v>2040525.51</v>
      </c>
      <c r="S34" s="3">
        <v>0</v>
      </c>
      <c r="T34" s="3">
        <v>2040525.51</v>
      </c>
      <c r="U34" t="str">
        <f t="shared" si="0"/>
        <v>Achive</v>
      </c>
    </row>
    <row r="35" spans="1:21" x14ac:dyDescent="0.3">
      <c r="A35" s="2">
        <v>800285</v>
      </c>
      <c r="B35" s="10">
        <v>45405</v>
      </c>
      <c r="C35" s="2" t="s">
        <v>20</v>
      </c>
      <c r="D35" s="2" t="s">
        <v>74</v>
      </c>
      <c r="E35" s="2" t="s">
        <v>113</v>
      </c>
      <c r="F35" s="2" t="s">
        <v>41</v>
      </c>
      <c r="G35" s="2" t="s">
        <v>42</v>
      </c>
      <c r="H35" s="2" t="s">
        <v>25</v>
      </c>
      <c r="I35" s="2" t="s">
        <v>67</v>
      </c>
      <c r="J35" s="2" t="s">
        <v>108</v>
      </c>
      <c r="K35" s="2" t="s">
        <v>62</v>
      </c>
      <c r="L35" s="2" t="s">
        <v>73</v>
      </c>
      <c r="M35" s="2">
        <v>2</v>
      </c>
      <c r="N35" s="3">
        <v>1800000</v>
      </c>
      <c r="O35" s="3">
        <v>1825694.34</v>
      </c>
      <c r="P35" s="4">
        <v>7.5</v>
      </c>
      <c r="Q35" s="2">
        <v>0</v>
      </c>
      <c r="R35" s="3">
        <v>3651388.68</v>
      </c>
      <c r="S35" s="3">
        <v>273854.15000000002</v>
      </c>
      <c r="T35" s="3">
        <v>3377534.53</v>
      </c>
      <c r="U35" t="str">
        <f t="shared" si="0"/>
        <v>Achive</v>
      </c>
    </row>
    <row r="36" spans="1:21" x14ac:dyDescent="0.3">
      <c r="A36" s="2">
        <v>800278</v>
      </c>
      <c r="B36" s="10">
        <v>45407</v>
      </c>
      <c r="C36" s="2" t="s">
        <v>38</v>
      </c>
      <c r="D36" s="2" t="s">
        <v>63</v>
      </c>
      <c r="E36" s="2" t="s">
        <v>114</v>
      </c>
      <c r="F36" s="2" t="s">
        <v>65</v>
      </c>
      <c r="G36" s="2" t="s">
        <v>90</v>
      </c>
      <c r="H36" s="2" t="s">
        <v>25</v>
      </c>
      <c r="I36" s="2" t="s">
        <v>26</v>
      </c>
      <c r="J36" s="2" t="s">
        <v>76</v>
      </c>
      <c r="K36" s="2" t="s">
        <v>115</v>
      </c>
      <c r="L36" s="2" t="s">
        <v>50</v>
      </c>
      <c r="M36" s="2">
        <v>2</v>
      </c>
      <c r="N36" s="3">
        <v>700000</v>
      </c>
      <c r="O36" s="3">
        <v>687983.03</v>
      </c>
      <c r="P36" s="4">
        <v>0</v>
      </c>
      <c r="Q36" s="2">
        <v>0</v>
      </c>
      <c r="R36" s="3">
        <v>1375966.06</v>
      </c>
      <c r="S36" s="3">
        <v>0</v>
      </c>
      <c r="T36" s="3">
        <v>1375966.06</v>
      </c>
      <c r="U36" t="str">
        <f t="shared" si="0"/>
        <v>Not achive</v>
      </c>
    </row>
    <row r="37" spans="1:21" x14ac:dyDescent="0.3">
      <c r="A37" s="2">
        <v>800262</v>
      </c>
      <c r="B37" s="10">
        <v>45408</v>
      </c>
      <c r="C37" s="2" t="s">
        <v>69</v>
      </c>
      <c r="D37" s="2" t="s">
        <v>83</v>
      </c>
      <c r="E37" s="2" t="s">
        <v>84</v>
      </c>
      <c r="F37" s="2" t="s">
        <v>32</v>
      </c>
      <c r="G37" s="2" t="s">
        <v>116</v>
      </c>
      <c r="H37" s="2" t="s">
        <v>25</v>
      </c>
      <c r="I37" s="2" t="s">
        <v>26</v>
      </c>
      <c r="J37" s="2" t="s">
        <v>76</v>
      </c>
      <c r="K37" s="2" t="s">
        <v>117</v>
      </c>
      <c r="L37" s="2" t="s">
        <v>73</v>
      </c>
      <c r="M37" s="2">
        <v>1</v>
      </c>
      <c r="N37" s="3">
        <v>700000</v>
      </c>
      <c r="O37" s="3">
        <v>703890.51</v>
      </c>
      <c r="P37" s="4">
        <v>7.5</v>
      </c>
      <c r="Q37" s="2">
        <v>0</v>
      </c>
      <c r="R37" s="3">
        <v>703890.51</v>
      </c>
      <c r="S37" s="3">
        <v>52791.79</v>
      </c>
      <c r="T37" s="3">
        <v>651098.72</v>
      </c>
      <c r="U37" t="str">
        <f t="shared" si="0"/>
        <v>Not achive</v>
      </c>
    </row>
    <row r="38" spans="1:21" x14ac:dyDescent="0.3">
      <c r="A38" s="2">
        <v>800434</v>
      </c>
      <c r="B38" s="10">
        <v>45408</v>
      </c>
      <c r="C38" s="2" t="s">
        <v>20</v>
      </c>
      <c r="D38" s="2" t="s">
        <v>74</v>
      </c>
      <c r="E38" s="2" t="s">
        <v>75</v>
      </c>
      <c r="F38" s="2" t="s">
        <v>46</v>
      </c>
      <c r="G38" s="2" t="s">
        <v>72</v>
      </c>
      <c r="H38" s="2" t="s">
        <v>25</v>
      </c>
      <c r="I38" s="2" t="s">
        <v>67</v>
      </c>
      <c r="J38" s="2" t="s">
        <v>68</v>
      </c>
      <c r="K38" s="2" t="s">
        <v>117</v>
      </c>
      <c r="L38" s="2" t="s">
        <v>73</v>
      </c>
      <c r="M38" s="2">
        <v>1</v>
      </c>
      <c r="N38" s="3">
        <v>1200000</v>
      </c>
      <c r="O38" s="3">
        <v>1184170.0900000001</v>
      </c>
      <c r="P38" s="4">
        <v>12.5</v>
      </c>
      <c r="Q38" s="2">
        <v>0</v>
      </c>
      <c r="R38" s="3">
        <v>1184170.0900000001</v>
      </c>
      <c r="S38" s="3">
        <v>148021.26</v>
      </c>
      <c r="T38" s="3">
        <v>1036148.83</v>
      </c>
      <c r="U38" t="str">
        <f t="shared" si="0"/>
        <v>Not achive</v>
      </c>
    </row>
    <row r="39" spans="1:21" x14ac:dyDescent="0.3">
      <c r="A39" s="2">
        <v>800168</v>
      </c>
      <c r="B39" s="10">
        <v>45409</v>
      </c>
      <c r="C39" s="2" t="s">
        <v>38</v>
      </c>
      <c r="D39" s="2" t="s">
        <v>118</v>
      </c>
      <c r="E39" s="2" t="s">
        <v>119</v>
      </c>
      <c r="F39" s="2" t="s">
        <v>41</v>
      </c>
      <c r="G39" s="2" t="s">
        <v>54</v>
      </c>
      <c r="H39" s="2" t="s">
        <v>25</v>
      </c>
      <c r="I39" s="2" t="s">
        <v>26</v>
      </c>
      <c r="J39" s="2" t="s">
        <v>120</v>
      </c>
      <c r="K39" s="2" t="s">
        <v>121</v>
      </c>
      <c r="L39" s="2" t="s">
        <v>122</v>
      </c>
      <c r="M39" s="2">
        <v>1</v>
      </c>
      <c r="N39" s="3">
        <v>1900000</v>
      </c>
      <c r="O39" s="3">
        <v>1847822.72</v>
      </c>
      <c r="P39" s="4">
        <v>2</v>
      </c>
      <c r="Q39" s="2">
        <v>0</v>
      </c>
      <c r="R39" s="3">
        <v>1847822.72</v>
      </c>
      <c r="S39" s="3">
        <v>36956.449999999997</v>
      </c>
      <c r="T39" s="3">
        <v>1810866.27</v>
      </c>
      <c r="U39" t="str">
        <f t="shared" si="0"/>
        <v>Not achive</v>
      </c>
    </row>
    <row r="40" spans="1:21" x14ac:dyDescent="0.3">
      <c r="A40" s="2">
        <v>800527</v>
      </c>
      <c r="B40" s="10">
        <v>45409</v>
      </c>
      <c r="C40" s="2" t="s">
        <v>51</v>
      </c>
      <c r="D40" s="2" t="s">
        <v>106</v>
      </c>
      <c r="E40" s="2" t="s">
        <v>107</v>
      </c>
      <c r="F40" s="2" t="s">
        <v>65</v>
      </c>
      <c r="G40" s="2" t="s">
        <v>90</v>
      </c>
      <c r="H40" s="2" t="s">
        <v>25</v>
      </c>
      <c r="I40" s="2" t="s">
        <v>67</v>
      </c>
      <c r="J40" s="2" t="s">
        <v>85</v>
      </c>
      <c r="K40" s="2" t="s">
        <v>86</v>
      </c>
      <c r="L40" s="2" t="s">
        <v>123</v>
      </c>
      <c r="M40" s="2">
        <v>3</v>
      </c>
      <c r="N40" s="3">
        <v>1500000</v>
      </c>
      <c r="O40" s="3">
        <v>1515386.53</v>
      </c>
      <c r="P40" s="4">
        <v>12.5</v>
      </c>
      <c r="Q40" s="2">
        <v>1</v>
      </c>
      <c r="R40" s="3">
        <v>4546159.59</v>
      </c>
      <c r="S40" s="3">
        <v>568269.94999999995</v>
      </c>
      <c r="T40" s="3">
        <v>3977889.64</v>
      </c>
      <c r="U40" t="str">
        <f t="shared" si="0"/>
        <v>Achive</v>
      </c>
    </row>
    <row r="41" spans="1:21" x14ac:dyDescent="0.3">
      <c r="A41" s="2">
        <v>800339</v>
      </c>
      <c r="B41" s="10">
        <v>45410</v>
      </c>
      <c r="C41" s="2" t="s">
        <v>69</v>
      </c>
      <c r="D41" s="2" t="s">
        <v>83</v>
      </c>
      <c r="E41" s="2" t="s">
        <v>84</v>
      </c>
      <c r="F41" s="2" t="s">
        <v>46</v>
      </c>
      <c r="G41" s="2" t="s">
        <v>94</v>
      </c>
      <c r="H41" s="2" t="s">
        <v>25</v>
      </c>
      <c r="I41" s="2" t="s">
        <v>34</v>
      </c>
      <c r="J41" s="2" t="s">
        <v>35</v>
      </c>
      <c r="K41" s="2" t="s">
        <v>36</v>
      </c>
      <c r="L41" s="2" t="s">
        <v>29</v>
      </c>
      <c r="M41" s="2">
        <v>4</v>
      </c>
      <c r="N41" s="3">
        <v>550000</v>
      </c>
      <c r="O41" s="3">
        <v>544157.75</v>
      </c>
      <c r="P41" s="4">
        <v>7.5</v>
      </c>
      <c r="Q41" s="2">
        <v>0</v>
      </c>
      <c r="R41" s="3">
        <v>2176631</v>
      </c>
      <c r="S41" s="3">
        <v>163247.32999999999</v>
      </c>
      <c r="T41" s="3">
        <v>2013383.67</v>
      </c>
      <c r="U41" t="str">
        <f t="shared" si="0"/>
        <v>Achive</v>
      </c>
    </row>
    <row r="42" spans="1:21" x14ac:dyDescent="0.3">
      <c r="A42" s="2">
        <v>800621</v>
      </c>
      <c r="B42" s="10">
        <v>45411</v>
      </c>
      <c r="C42" s="2" t="s">
        <v>38</v>
      </c>
      <c r="D42" s="2" t="s">
        <v>39</v>
      </c>
      <c r="E42" s="2" t="s">
        <v>40</v>
      </c>
      <c r="F42" s="2" t="s">
        <v>65</v>
      </c>
      <c r="G42" s="2" t="s">
        <v>33</v>
      </c>
      <c r="H42" s="2" t="s">
        <v>25</v>
      </c>
      <c r="I42" s="2" t="s">
        <v>26</v>
      </c>
      <c r="J42" s="2" t="s">
        <v>120</v>
      </c>
      <c r="K42" s="2" t="s">
        <v>121</v>
      </c>
      <c r="L42" s="2" t="s">
        <v>73</v>
      </c>
      <c r="M42" s="2">
        <v>1</v>
      </c>
      <c r="N42" s="3">
        <v>1900000</v>
      </c>
      <c r="O42" s="3">
        <v>1925011.49</v>
      </c>
      <c r="P42" s="4">
        <v>5</v>
      </c>
      <c r="Q42" s="2">
        <v>0</v>
      </c>
      <c r="R42" s="3">
        <v>1925011.49</v>
      </c>
      <c r="S42" s="3">
        <v>96250.57</v>
      </c>
      <c r="T42" s="3">
        <v>1828760.92</v>
      </c>
      <c r="U42" t="str">
        <f t="shared" si="0"/>
        <v>Not achive</v>
      </c>
    </row>
    <row r="43" spans="1:21" x14ac:dyDescent="0.3">
      <c r="A43" s="2">
        <v>800181</v>
      </c>
      <c r="B43" s="10">
        <v>45413</v>
      </c>
      <c r="C43" s="2" t="s">
        <v>51</v>
      </c>
      <c r="D43" s="2" t="s">
        <v>110</v>
      </c>
      <c r="E43" s="2" t="s">
        <v>124</v>
      </c>
      <c r="F43" s="2" t="s">
        <v>41</v>
      </c>
      <c r="G43" s="2" t="s">
        <v>33</v>
      </c>
      <c r="H43" s="2" t="s">
        <v>25</v>
      </c>
      <c r="I43" s="2" t="s">
        <v>26</v>
      </c>
      <c r="J43" s="2" t="s">
        <v>76</v>
      </c>
      <c r="K43" s="2" t="s">
        <v>115</v>
      </c>
      <c r="L43" s="2" t="s">
        <v>50</v>
      </c>
      <c r="M43" s="2">
        <v>1</v>
      </c>
      <c r="N43" s="3">
        <v>700000</v>
      </c>
      <c r="O43" s="3">
        <v>693829.41</v>
      </c>
      <c r="P43" s="4">
        <v>0</v>
      </c>
      <c r="Q43" s="2">
        <v>0</v>
      </c>
      <c r="R43" s="3">
        <v>693829.41</v>
      </c>
      <c r="S43" s="3">
        <v>0</v>
      </c>
      <c r="T43" s="3">
        <v>693829.41</v>
      </c>
      <c r="U43" t="str">
        <f t="shared" si="0"/>
        <v>Not achive</v>
      </c>
    </row>
    <row r="44" spans="1:21" x14ac:dyDescent="0.3">
      <c r="A44" s="2">
        <v>800257</v>
      </c>
      <c r="B44" s="10">
        <v>45413</v>
      </c>
      <c r="C44" s="2" t="s">
        <v>38</v>
      </c>
      <c r="D44" s="2" t="s">
        <v>39</v>
      </c>
      <c r="E44" s="2" t="s">
        <v>40</v>
      </c>
      <c r="F44" s="2" t="s">
        <v>41</v>
      </c>
      <c r="G44" s="2" t="s">
        <v>42</v>
      </c>
      <c r="H44" s="2" t="s">
        <v>25</v>
      </c>
      <c r="I44" s="2" t="s">
        <v>67</v>
      </c>
      <c r="J44" s="2" t="s">
        <v>85</v>
      </c>
      <c r="K44" s="2" t="s">
        <v>91</v>
      </c>
      <c r="L44" s="2" t="s">
        <v>78</v>
      </c>
      <c r="M44" s="2">
        <v>1</v>
      </c>
      <c r="N44" s="3">
        <v>1500000</v>
      </c>
      <c r="O44" s="3">
        <v>1470389.58</v>
      </c>
      <c r="P44" s="4">
        <v>2</v>
      </c>
      <c r="Q44" s="2">
        <v>0</v>
      </c>
      <c r="R44" s="3">
        <v>1470389.58</v>
      </c>
      <c r="S44" s="3">
        <v>29407.79</v>
      </c>
      <c r="T44" s="3">
        <v>1440981.79</v>
      </c>
      <c r="U44" t="str">
        <f t="shared" si="0"/>
        <v>Not achive</v>
      </c>
    </row>
    <row r="45" spans="1:21" x14ac:dyDescent="0.3">
      <c r="A45" s="2">
        <v>800163</v>
      </c>
      <c r="B45" s="10">
        <v>45414</v>
      </c>
      <c r="C45" s="2" t="s">
        <v>51</v>
      </c>
      <c r="D45" s="2" t="s">
        <v>52</v>
      </c>
      <c r="E45" s="2" t="s">
        <v>109</v>
      </c>
      <c r="F45" s="2" t="s">
        <v>23</v>
      </c>
      <c r="G45" s="2" t="s">
        <v>24</v>
      </c>
      <c r="H45" s="2" t="s">
        <v>25</v>
      </c>
      <c r="I45" s="2" t="s">
        <v>67</v>
      </c>
      <c r="J45" s="2" t="s">
        <v>85</v>
      </c>
      <c r="K45" s="2" t="s">
        <v>89</v>
      </c>
      <c r="L45" s="2" t="s">
        <v>87</v>
      </c>
      <c r="M45" s="2">
        <v>3</v>
      </c>
      <c r="N45" s="3">
        <v>1500000</v>
      </c>
      <c r="O45" s="3">
        <v>1470291.88</v>
      </c>
      <c r="P45" s="4">
        <v>12.5</v>
      </c>
      <c r="Q45" s="2">
        <v>0</v>
      </c>
      <c r="R45" s="3">
        <v>4410875.6399999997</v>
      </c>
      <c r="S45" s="3">
        <v>551359.44999999995</v>
      </c>
      <c r="T45" s="3">
        <v>3859516.19</v>
      </c>
      <c r="U45" t="str">
        <f t="shared" si="0"/>
        <v>Achive</v>
      </c>
    </row>
    <row r="46" spans="1:21" x14ac:dyDescent="0.3">
      <c r="A46" s="2">
        <v>800488</v>
      </c>
      <c r="B46" s="10">
        <v>45414</v>
      </c>
      <c r="C46" s="2" t="s">
        <v>38</v>
      </c>
      <c r="D46" s="2" t="s">
        <v>118</v>
      </c>
      <c r="E46" s="2" t="s">
        <v>125</v>
      </c>
      <c r="F46" s="2" t="s">
        <v>65</v>
      </c>
      <c r="G46" s="2" t="s">
        <v>61</v>
      </c>
      <c r="H46" s="2" t="s">
        <v>25</v>
      </c>
      <c r="I46" s="2" t="s">
        <v>67</v>
      </c>
      <c r="J46" s="2" t="s">
        <v>112</v>
      </c>
      <c r="K46" s="2" t="s">
        <v>58</v>
      </c>
      <c r="L46" s="2" t="s">
        <v>92</v>
      </c>
      <c r="M46" s="2">
        <v>3</v>
      </c>
      <c r="N46" s="3">
        <v>1250000</v>
      </c>
      <c r="O46" s="3">
        <v>1237762.3400000001</v>
      </c>
      <c r="P46" s="4">
        <v>0</v>
      </c>
      <c r="Q46" s="2">
        <v>0</v>
      </c>
      <c r="R46" s="3">
        <v>3713287.02</v>
      </c>
      <c r="S46" s="3">
        <v>0</v>
      </c>
      <c r="T46" s="3">
        <v>3713287.02</v>
      </c>
      <c r="U46" t="str">
        <f t="shared" si="0"/>
        <v>Achive</v>
      </c>
    </row>
    <row r="47" spans="1:21" x14ac:dyDescent="0.3">
      <c r="A47" s="2">
        <v>800635</v>
      </c>
      <c r="B47" s="10">
        <v>45414</v>
      </c>
      <c r="C47" s="2" t="s">
        <v>51</v>
      </c>
      <c r="D47" s="2" t="s">
        <v>110</v>
      </c>
      <c r="E47" s="2" t="s">
        <v>124</v>
      </c>
      <c r="F47" s="2" t="s">
        <v>23</v>
      </c>
      <c r="G47" s="2" t="s">
        <v>33</v>
      </c>
      <c r="H47" s="2" t="s">
        <v>25</v>
      </c>
      <c r="I47" s="2" t="s">
        <v>67</v>
      </c>
      <c r="J47" s="2" t="s">
        <v>112</v>
      </c>
      <c r="K47" s="2" t="s">
        <v>99</v>
      </c>
      <c r="L47" s="2" t="s">
        <v>29</v>
      </c>
      <c r="M47" s="2">
        <v>2</v>
      </c>
      <c r="N47" s="3">
        <v>1250000</v>
      </c>
      <c r="O47" s="3">
        <v>1237480.02</v>
      </c>
      <c r="P47" s="4">
        <v>12.5</v>
      </c>
      <c r="Q47" s="2">
        <v>0</v>
      </c>
      <c r="R47" s="3">
        <v>2474960.04</v>
      </c>
      <c r="S47" s="3">
        <v>309370.01</v>
      </c>
      <c r="T47" s="3">
        <v>2165590.0299999998</v>
      </c>
      <c r="U47" t="str">
        <f t="shared" si="0"/>
        <v>Achive</v>
      </c>
    </row>
    <row r="48" spans="1:21" x14ac:dyDescent="0.3">
      <c r="A48" s="2">
        <v>800133</v>
      </c>
      <c r="B48" s="10">
        <v>45417</v>
      </c>
      <c r="C48" s="2" t="s">
        <v>38</v>
      </c>
      <c r="D48" s="2" t="s">
        <v>39</v>
      </c>
      <c r="E48" s="2" t="s">
        <v>126</v>
      </c>
      <c r="F48" s="2" t="s">
        <v>23</v>
      </c>
      <c r="G48" s="2" t="s">
        <v>66</v>
      </c>
      <c r="H48" s="2" t="s">
        <v>25</v>
      </c>
      <c r="I48" s="2" t="s">
        <v>26</v>
      </c>
      <c r="J48" s="2" t="s">
        <v>127</v>
      </c>
      <c r="K48" s="2" t="s">
        <v>99</v>
      </c>
      <c r="L48" s="2" t="s">
        <v>87</v>
      </c>
      <c r="M48" s="2">
        <v>2</v>
      </c>
      <c r="N48" s="3">
        <v>650000</v>
      </c>
      <c r="O48" s="3">
        <v>638743.63</v>
      </c>
      <c r="P48" s="4">
        <v>0</v>
      </c>
      <c r="Q48" s="2">
        <v>0</v>
      </c>
      <c r="R48" s="3">
        <v>1277487.26</v>
      </c>
      <c r="S48" s="3">
        <v>0</v>
      </c>
      <c r="T48" s="3">
        <v>1277487.26</v>
      </c>
      <c r="U48" t="str">
        <f t="shared" si="0"/>
        <v>Not achive</v>
      </c>
    </row>
    <row r="49" spans="1:21" x14ac:dyDescent="0.3">
      <c r="A49" s="2">
        <v>800140</v>
      </c>
      <c r="B49" s="10">
        <v>45417</v>
      </c>
      <c r="C49" s="2" t="s">
        <v>38</v>
      </c>
      <c r="D49" s="2" t="s">
        <v>39</v>
      </c>
      <c r="E49" s="2" t="s">
        <v>126</v>
      </c>
      <c r="F49" s="2" t="s">
        <v>23</v>
      </c>
      <c r="G49" s="2" t="s">
        <v>24</v>
      </c>
      <c r="H49" s="2" t="s">
        <v>25</v>
      </c>
      <c r="I49" s="2" t="s">
        <v>67</v>
      </c>
      <c r="J49" s="2" t="s">
        <v>108</v>
      </c>
      <c r="K49" s="2" t="s">
        <v>91</v>
      </c>
      <c r="L49" s="2" t="s">
        <v>73</v>
      </c>
      <c r="M49" s="2">
        <v>1</v>
      </c>
      <c r="N49" s="3">
        <v>1800000</v>
      </c>
      <c r="O49" s="3">
        <v>1758850.15</v>
      </c>
      <c r="P49" s="4">
        <v>12.5</v>
      </c>
      <c r="Q49" s="2">
        <v>0</v>
      </c>
      <c r="R49" s="3">
        <v>1758850.15</v>
      </c>
      <c r="S49" s="3">
        <v>219856.27</v>
      </c>
      <c r="T49" s="3">
        <v>1538993.88</v>
      </c>
      <c r="U49" t="str">
        <f t="shared" si="0"/>
        <v>Not achive</v>
      </c>
    </row>
    <row r="50" spans="1:21" x14ac:dyDescent="0.3">
      <c r="A50" s="2">
        <v>800467</v>
      </c>
      <c r="B50" s="10">
        <v>45417</v>
      </c>
      <c r="C50" s="2" t="s">
        <v>20</v>
      </c>
      <c r="D50" s="2" t="s">
        <v>21</v>
      </c>
      <c r="E50" s="2" t="s">
        <v>22</v>
      </c>
      <c r="F50" s="2" t="s">
        <v>65</v>
      </c>
      <c r="G50" s="2" t="s">
        <v>94</v>
      </c>
      <c r="H50" s="2" t="s">
        <v>25</v>
      </c>
      <c r="I50" s="2" t="s">
        <v>34</v>
      </c>
      <c r="J50" s="2" t="s">
        <v>35</v>
      </c>
      <c r="K50" s="2" t="s">
        <v>45</v>
      </c>
      <c r="L50" s="2" t="s">
        <v>29</v>
      </c>
      <c r="M50" s="2">
        <v>6</v>
      </c>
      <c r="N50" s="3">
        <v>550000</v>
      </c>
      <c r="O50" s="3">
        <v>539032.65</v>
      </c>
      <c r="P50" s="4">
        <v>5</v>
      </c>
      <c r="Q50" s="2">
        <v>0</v>
      </c>
      <c r="R50" s="3">
        <v>3234195.9</v>
      </c>
      <c r="S50" s="3">
        <v>161709.79999999999</v>
      </c>
      <c r="T50" s="3">
        <v>3072486.1</v>
      </c>
      <c r="U50" t="str">
        <f t="shared" si="0"/>
        <v>Achive</v>
      </c>
    </row>
    <row r="51" spans="1:21" x14ac:dyDescent="0.3">
      <c r="A51" s="2">
        <v>800558</v>
      </c>
      <c r="B51" s="10">
        <v>45417</v>
      </c>
      <c r="C51" s="2" t="s">
        <v>20</v>
      </c>
      <c r="D51" s="2" t="s">
        <v>21</v>
      </c>
      <c r="E51" s="2" t="s">
        <v>22</v>
      </c>
      <c r="F51" s="2" t="s">
        <v>23</v>
      </c>
      <c r="G51" s="2" t="s">
        <v>100</v>
      </c>
      <c r="H51" s="2" t="s">
        <v>25</v>
      </c>
      <c r="I51" s="2" t="s">
        <v>26</v>
      </c>
      <c r="J51" s="2" t="s">
        <v>48</v>
      </c>
      <c r="K51" s="2" t="s">
        <v>62</v>
      </c>
      <c r="L51" s="2" t="s">
        <v>122</v>
      </c>
      <c r="M51" s="2">
        <v>1</v>
      </c>
      <c r="N51" s="3">
        <v>1200000</v>
      </c>
      <c r="O51" s="3">
        <v>1171161.28</v>
      </c>
      <c r="P51" s="4">
        <v>5</v>
      </c>
      <c r="Q51" s="2">
        <v>0</v>
      </c>
      <c r="R51" s="3">
        <v>1171161.28</v>
      </c>
      <c r="S51" s="3">
        <v>58558.06</v>
      </c>
      <c r="T51" s="3">
        <v>1112603.22</v>
      </c>
      <c r="U51" t="str">
        <f t="shared" si="0"/>
        <v>Not achive</v>
      </c>
    </row>
    <row r="52" spans="1:21" x14ac:dyDescent="0.3">
      <c r="A52" s="2">
        <v>800569</v>
      </c>
      <c r="B52" s="10">
        <v>45417</v>
      </c>
      <c r="C52" s="2" t="s">
        <v>51</v>
      </c>
      <c r="D52" s="2" t="s">
        <v>106</v>
      </c>
      <c r="E52" s="2" t="s">
        <v>128</v>
      </c>
      <c r="F52" s="2" t="s">
        <v>65</v>
      </c>
      <c r="G52" s="2" t="s">
        <v>54</v>
      </c>
      <c r="H52" s="2" t="s">
        <v>25</v>
      </c>
      <c r="I52" s="2" t="s">
        <v>26</v>
      </c>
      <c r="J52" s="2" t="s">
        <v>105</v>
      </c>
      <c r="K52" s="2" t="s">
        <v>89</v>
      </c>
      <c r="L52" s="2" t="s">
        <v>73</v>
      </c>
      <c r="M52" s="2">
        <v>3</v>
      </c>
      <c r="N52" s="3">
        <v>950000</v>
      </c>
      <c r="O52" s="3">
        <v>958588.1</v>
      </c>
      <c r="P52" s="4">
        <v>2</v>
      </c>
      <c r="Q52" s="2">
        <v>0</v>
      </c>
      <c r="R52" s="3">
        <v>2875764.3</v>
      </c>
      <c r="S52" s="3">
        <v>57515.29</v>
      </c>
      <c r="T52" s="3">
        <v>2818249.01</v>
      </c>
      <c r="U52" t="str">
        <f t="shared" si="0"/>
        <v>Achive</v>
      </c>
    </row>
    <row r="53" spans="1:21" x14ac:dyDescent="0.3">
      <c r="A53" s="2">
        <v>800035</v>
      </c>
      <c r="B53" s="10">
        <v>45418</v>
      </c>
      <c r="C53" s="2" t="s">
        <v>20</v>
      </c>
      <c r="D53" s="2" t="s">
        <v>30</v>
      </c>
      <c r="E53" s="2" t="s">
        <v>31</v>
      </c>
      <c r="F53" s="2" t="s">
        <v>23</v>
      </c>
      <c r="G53" s="2" t="s">
        <v>54</v>
      </c>
      <c r="H53" s="2" t="s">
        <v>25</v>
      </c>
      <c r="I53" s="2" t="s">
        <v>26</v>
      </c>
      <c r="J53" s="2" t="s">
        <v>76</v>
      </c>
      <c r="K53" s="2" t="s">
        <v>117</v>
      </c>
      <c r="L53" s="2" t="s">
        <v>29</v>
      </c>
      <c r="M53" s="2">
        <v>3</v>
      </c>
      <c r="N53" s="3">
        <v>700000</v>
      </c>
      <c r="O53" s="3">
        <v>694262.01</v>
      </c>
      <c r="P53" s="4">
        <v>2</v>
      </c>
      <c r="Q53" s="2">
        <v>0</v>
      </c>
      <c r="R53" s="3">
        <v>2082786.03</v>
      </c>
      <c r="S53" s="3">
        <v>41655.72</v>
      </c>
      <c r="T53" s="3">
        <v>2041130.31</v>
      </c>
      <c r="U53" t="str">
        <f t="shared" si="0"/>
        <v>Achive</v>
      </c>
    </row>
    <row r="54" spans="1:21" x14ac:dyDescent="0.3">
      <c r="A54" s="2">
        <v>800016</v>
      </c>
      <c r="B54" s="10">
        <v>45419</v>
      </c>
      <c r="C54" s="2" t="s">
        <v>51</v>
      </c>
      <c r="D54" s="2" t="s">
        <v>52</v>
      </c>
      <c r="E54" s="2" t="s">
        <v>53</v>
      </c>
      <c r="F54" s="2" t="s">
        <v>41</v>
      </c>
      <c r="G54" s="2" t="s">
        <v>61</v>
      </c>
      <c r="H54" s="2" t="s">
        <v>25</v>
      </c>
      <c r="I54" s="2" t="s">
        <v>26</v>
      </c>
      <c r="J54" s="2" t="s">
        <v>120</v>
      </c>
      <c r="K54" s="2" t="s">
        <v>121</v>
      </c>
      <c r="L54" s="2" t="s">
        <v>29</v>
      </c>
      <c r="M54" s="2">
        <v>1</v>
      </c>
      <c r="N54" s="3">
        <v>1900000</v>
      </c>
      <c r="O54" s="3">
        <v>1849403.03</v>
      </c>
      <c r="P54" s="4">
        <v>0</v>
      </c>
      <c r="Q54" s="2">
        <v>0</v>
      </c>
      <c r="R54" s="3">
        <v>1849403.03</v>
      </c>
      <c r="S54" s="3">
        <v>0</v>
      </c>
      <c r="T54" s="3">
        <v>1849403.03</v>
      </c>
      <c r="U54" t="str">
        <f t="shared" si="0"/>
        <v>Not achive</v>
      </c>
    </row>
    <row r="55" spans="1:21" x14ac:dyDescent="0.3">
      <c r="A55" s="2">
        <v>800510</v>
      </c>
      <c r="B55" s="10">
        <v>45419</v>
      </c>
      <c r="C55" s="2" t="s">
        <v>20</v>
      </c>
      <c r="D55" s="2" t="s">
        <v>21</v>
      </c>
      <c r="E55" s="2" t="s">
        <v>98</v>
      </c>
      <c r="F55" s="2" t="s">
        <v>32</v>
      </c>
      <c r="G55" s="2" t="s">
        <v>72</v>
      </c>
      <c r="H55" s="2" t="s">
        <v>25</v>
      </c>
      <c r="I55" s="2" t="s">
        <v>26</v>
      </c>
      <c r="J55" s="2" t="s">
        <v>76</v>
      </c>
      <c r="K55" s="2" t="s">
        <v>115</v>
      </c>
      <c r="L55" s="2" t="s">
        <v>50</v>
      </c>
      <c r="M55" s="2">
        <v>2</v>
      </c>
      <c r="N55" s="3">
        <v>700000</v>
      </c>
      <c r="O55" s="3">
        <v>704039.01</v>
      </c>
      <c r="P55" s="4">
        <v>0</v>
      </c>
      <c r="Q55" s="2">
        <v>1</v>
      </c>
      <c r="R55" s="3">
        <v>1408078.02</v>
      </c>
      <c r="S55" s="3">
        <v>0</v>
      </c>
      <c r="T55" s="3">
        <v>1408078.02</v>
      </c>
      <c r="U55" t="str">
        <f t="shared" si="0"/>
        <v>Not achive</v>
      </c>
    </row>
    <row r="56" spans="1:21" x14ac:dyDescent="0.3">
      <c r="A56" s="2">
        <v>800039</v>
      </c>
      <c r="B56" s="10">
        <v>45420</v>
      </c>
      <c r="C56" s="2" t="s">
        <v>38</v>
      </c>
      <c r="D56" s="2" t="s">
        <v>39</v>
      </c>
      <c r="E56" s="2" t="s">
        <v>126</v>
      </c>
      <c r="F56" s="2" t="s">
        <v>65</v>
      </c>
      <c r="G56" s="2" t="s">
        <v>90</v>
      </c>
      <c r="H56" s="2" t="s">
        <v>25</v>
      </c>
      <c r="I56" s="2" t="s">
        <v>34</v>
      </c>
      <c r="J56" s="2" t="s">
        <v>35</v>
      </c>
      <c r="K56" s="2" t="s">
        <v>45</v>
      </c>
      <c r="L56" s="2" t="s">
        <v>73</v>
      </c>
      <c r="M56" s="2">
        <v>1</v>
      </c>
      <c r="N56" s="3">
        <v>550000</v>
      </c>
      <c r="O56" s="3">
        <v>534770.88</v>
      </c>
      <c r="P56" s="4">
        <v>12.5</v>
      </c>
      <c r="Q56" s="2">
        <v>0</v>
      </c>
      <c r="R56" s="3">
        <v>534770.88</v>
      </c>
      <c r="S56" s="3">
        <v>66846.36</v>
      </c>
      <c r="T56" s="3">
        <v>467924.52</v>
      </c>
      <c r="U56" t="str">
        <f t="shared" si="0"/>
        <v>Not achive</v>
      </c>
    </row>
    <row r="57" spans="1:21" x14ac:dyDescent="0.3">
      <c r="A57" s="2">
        <v>800146</v>
      </c>
      <c r="B57" s="10">
        <v>45420</v>
      </c>
      <c r="C57" s="2" t="s">
        <v>69</v>
      </c>
      <c r="D57" s="2" t="s">
        <v>83</v>
      </c>
      <c r="E57" s="2" t="s">
        <v>97</v>
      </c>
      <c r="F57" s="2" t="s">
        <v>41</v>
      </c>
      <c r="G57" s="2" t="s">
        <v>47</v>
      </c>
      <c r="H57" s="2" t="s">
        <v>25</v>
      </c>
      <c r="I57" s="2" t="s">
        <v>67</v>
      </c>
      <c r="J57" s="2" t="s">
        <v>85</v>
      </c>
      <c r="K57" s="2" t="s">
        <v>91</v>
      </c>
      <c r="L57" s="2" t="s">
        <v>37</v>
      </c>
      <c r="M57" s="2">
        <v>3</v>
      </c>
      <c r="N57" s="3">
        <v>1500000</v>
      </c>
      <c r="O57" s="3">
        <v>1485809.63</v>
      </c>
      <c r="P57" s="4">
        <v>10</v>
      </c>
      <c r="Q57" s="2">
        <v>0</v>
      </c>
      <c r="R57" s="3">
        <v>4457428.8899999997</v>
      </c>
      <c r="S57" s="3">
        <v>445742.89</v>
      </c>
      <c r="T57" s="3">
        <v>4011686</v>
      </c>
      <c r="U57" t="str">
        <f t="shared" si="0"/>
        <v>Achive</v>
      </c>
    </row>
    <row r="58" spans="1:21" x14ac:dyDescent="0.3">
      <c r="A58" s="2">
        <v>800019</v>
      </c>
      <c r="B58" s="10">
        <v>45421</v>
      </c>
      <c r="C58" s="2" t="s">
        <v>51</v>
      </c>
      <c r="D58" s="2" t="s">
        <v>52</v>
      </c>
      <c r="E58" s="2" t="s">
        <v>53</v>
      </c>
      <c r="F58" s="2" t="s">
        <v>46</v>
      </c>
      <c r="G58" s="2" t="s">
        <v>94</v>
      </c>
      <c r="H58" s="2" t="s">
        <v>25</v>
      </c>
      <c r="I58" s="2" t="s">
        <v>26</v>
      </c>
      <c r="J58" s="2" t="s">
        <v>48</v>
      </c>
      <c r="K58" s="2" t="s">
        <v>49</v>
      </c>
      <c r="L58" s="2" t="s">
        <v>87</v>
      </c>
      <c r="M58" s="2">
        <v>1</v>
      </c>
      <c r="N58" s="3">
        <v>1200000</v>
      </c>
      <c r="O58" s="3">
        <v>1180712.71</v>
      </c>
      <c r="P58" s="4">
        <v>2</v>
      </c>
      <c r="Q58" s="2">
        <v>0</v>
      </c>
      <c r="R58" s="3">
        <v>1180712.71</v>
      </c>
      <c r="S58" s="3">
        <v>23614.25</v>
      </c>
      <c r="T58" s="3">
        <v>1157098.46</v>
      </c>
      <c r="U58" t="str">
        <f t="shared" si="0"/>
        <v>Not achive</v>
      </c>
    </row>
    <row r="59" spans="1:21" x14ac:dyDescent="0.3">
      <c r="A59" s="2">
        <v>800196</v>
      </c>
      <c r="B59" s="10">
        <v>45421</v>
      </c>
      <c r="C59" s="2" t="s">
        <v>20</v>
      </c>
      <c r="D59" s="2" t="s">
        <v>74</v>
      </c>
      <c r="E59" s="2" t="s">
        <v>75</v>
      </c>
      <c r="F59" s="2" t="s">
        <v>65</v>
      </c>
      <c r="G59" s="2" t="s">
        <v>100</v>
      </c>
      <c r="H59" s="2" t="s">
        <v>25</v>
      </c>
      <c r="I59" s="2" t="s">
        <v>26</v>
      </c>
      <c r="J59" s="2" t="s">
        <v>57</v>
      </c>
      <c r="K59" s="2" t="s">
        <v>99</v>
      </c>
      <c r="L59" s="2" t="s">
        <v>59</v>
      </c>
      <c r="M59" s="2">
        <v>2</v>
      </c>
      <c r="N59" s="3">
        <v>800000</v>
      </c>
      <c r="O59" s="3">
        <v>783361.91</v>
      </c>
      <c r="P59" s="4">
        <v>0</v>
      </c>
      <c r="Q59" s="2">
        <v>0</v>
      </c>
      <c r="R59" s="3">
        <v>1566723.82</v>
      </c>
      <c r="S59" s="3">
        <v>0</v>
      </c>
      <c r="T59" s="3">
        <v>1566723.82</v>
      </c>
      <c r="U59" t="str">
        <f t="shared" si="0"/>
        <v>Not achive</v>
      </c>
    </row>
    <row r="60" spans="1:21" x14ac:dyDescent="0.3">
      <c r="A60" s="2">
        <v>800117</v>
      </c>
      <c r="B60" s="10">
        <v>45422</v>
      </c>
      <c r="C60" s="2" t="s">
        <v>38</v>
      </c>
      <c r="D60" s="2" t="s">
        <v>118</v>
      </c>
      <c r="E60" s="2" t="s">
        <v>119</v>
      </c>
      <c r="F60" s="2" t="s">
        <v>65</v>
      </c>
      <c r="G60" s="2" t="s">
        <v>94</v>
      </c>
      <c r="H60" s="2" t="s">
        <v>25</v>
      </c>
      <c r="I60" s="2" t="s">
        <v>26</v>
      </c>
      <c r="J60" s="2" t="s">
        <v>27</v>
      </c>
      <c r="K60" s="2" t="s">
        <v>28</v>
      </c>
      <c r="L60" s="2" t="s">
        <v>37</v>
      </c>
      <c r="M60" s="2">
        <v>2</v>
      </c>
      <c r="N60" s="3">
        <v>750000</v>
      </c>
      <c r="O60" s="3">
        <v>728910.27</v>
      </c>
      <c r="P60" s="4">
        <v>7.5</v>
      </c>
      <c r="Q60" s="2">
        <v>0</v>
      </c>
      <c r="R60" s="3">
        <v>1457820.54</v>
      </c>
      <c r="S60" s="3">
        <v>109336.54</v>
      </c>
      <c r="T60" s="3">
        <v>1348484</v>
      </c>
      <c r="U60" t="str">
        <f t="shared" si="0"/>
        <v>Not achive</v>
      </c>
    </row>
    <row r="61" spans="1:21" x14ac:dyDescent="0.3">
      <c r="A61" s="2">
        <v>800141</v>
      </c>
      <c r="B61" s="10">
        <v>45422</v>
      </c>
      <c r="C61" s="2" t="s">
        <v>69</v>
      </c>
      <c r="D61" s="2" t="s">
        <v>83</v>
      </c>
      <c r="E61" s="2" t="s">
        <v>84</v>
      </c>
      <c r="F61" s="2" t="s">
        <v>65</v>
      </c>
      <c r="G61" s="2" t="s">
        <v>72</v>
      </c>
      <c r="H61" s="2" t="s">
        <v>25</v>
      </c>
      <c r="I61" s="2" t="s">
        <v>67</v>
      </c>
      <c r="J61" s="2" t="s">
        <v>112</v>
      </c>
      <c r="K61" s="2" t="s">
        <v>58</v>
      </c>
      <c r="L61" s="2" t="s">
        <v>92</v>
      </c>
      <c r="M61" s="2">
        <v>1</v>
      </c>
      <c r="N61" s="3">
        <v>1250000</v>
      </c>
      <c r="O61" s="3">
        <v>1254941.3799999999</v>
      </c>
      <c r="P61" s="4">
        <v>7.5</v>
      </c>
      <c r="Q61" s="2">
        <v>0</v>
      </c>
      <c r="R61" s="3">
        <v>1254941.3799999999</v>
      </c>
      <c r="S61" s="3">
        <v>94120.6</v>
      </c>
      <c r="T61" s="3">
        <v>1160820.78</v>
      </c>
      <c r="U61" t="str">
        <f t="shared" si="0"/>
        <v>Not achive</v>
      </c>
    </row>
    <row r="62" spans="1:21" x14ac:dyDescent="0.3">
      <c r="A62" s="2">
        <v>800542</v>
      </c>
      <c r="B62" s="10">
        <v>45422</v>
      </c>
      <c r="C62" s="2" t="s">
        <v>38</v>
      </c>
      <c r="D62" s="2" t="s">
        <v>63</v>
      </c>
      <c r="E62" s="2" t="s">
        <v>64</v>
      </c>
      <c r="F62" s="2" t="s">
        <v>41</v>
      </c>
      <c r="G62" s="2" t="s">
        <v>90</v>
      </c>
      <c r="H62" s="2" t="s">
        <v>25</v>
      </c>
      <c r="I62" s="2" t="s">
        <v>43</v>
      </c>
      <c r="J62" s="2" t="s">
        <v>101</v>
      </c>
      <c r="K62" s="2" t="s">
        <v>102</v>
      </c>
      <c r="L62" s="2" t="s">
        <v>50</v>
      </c>
      <c r="M62" s="2">
        <v>1</v>
      </c>
      <c r="N62" s="3">
        <v>1000000</v>
      </c>
      <c r="O62" s="3">
        <v>989534.13</v>
      </c>
      <c r="P62" s="4">
        <v>0</v>
      </c>
      <c r="Q62" s="2">
        <v>0</v>
      </c>
      <c r="R62" s="3">
        <v>989534.13</v>
      </c>
      <c r="S62" s="3">
        <v>0</v>
      </c>
      <c r="T62" s="3">
        <v>989534.13</v>
      </c>
      <c r="U62" t="str">
        <f t="shared" si="0"/>
        <v>Not achive</v>
      </c>
    </row>
    <row r="63" spans="1:21" x14ac:dyDescent="0.3">
      <c r="A63" s="2">
        <v>800388</v>
      </c>
      <c r="B63" s="10">
        <v>45423</v>
      </c>
      <c r="C63" s="2" t="s">
        <v>69</v>
      </c>
      <c r="D63" s="2" t="s">
        <v>83</v>
      </c>
      <c r="E63" s="2" t="s">
        <v>97</v>
      </c>
      <c r="F63" s="2" t="s">
        <v>65</v>
      </c>
      <c r="G63" s="2" t="s">
        <v>90</v>
      </c>
      <c r="H63" s="2" t="s">
        <v>25</v>
      </c>
      <c r="I63" s="2" t="s">
        <v>26</v>
      </c>
      <c r="J63" s="2" t="s">
        <v>76</v>
      </c>
      <c r="K63" s="2" t="s">
        <v>77</v>
      </c>
      <c r="L63" s="2" t="s">
        <v>122</v>
      </c>
      <c r="M63" s="2">
        <v>3</v>
      </c>
      <c r="N63" s="3">
        <v>700000</v>
      </c>
      <c r="O63" s="3">
        <v>691460.96</v>
      </c>
      <c r="P63" s="4">
        <v>0</v>
      </c>
      <c r="Q63" s="2">
        <v>0</v>
      </c>
      <c r="R63" s="3">
        <v>2074382.88</v>
      </c>
      <c r="S63" s="3">
        <v>0</v>
      </c>
      <c r="T63" s="3">
        <v>2074382.88</v>
      </c>
      <c r="U63" t="str">
        <f t="shared" si="0"/>
        <v>Achive</v>
      </c>
    </row>
    <row r="64" spans="1:21" x14ac:dyDescent="0.3">
      <c r="A64" s="2">
        <v>800043</v>
      </c>
      <c r="B64" s="10">
        <v>45424</v>
      </c>
      <c r="C64" s="2" t="s">
        <v>20</v>
      </c>
      <c r="D64" s="2" t="s">
        <v>30</v>
      </c>
      <c r="E64" s="2" t="s">
        <v>31</v>
      </c>
      <c r="F64" s="2" t="s">
        <v>65</v>
      </c>
      <c r="G64" s="2" t="s">
        <v>66</v>
      </c>
      <c r="H64" s="2" t="s">
        <v>25</v>
      </c>
      <c r="I64" s="2" t="s">
        <v>26</v>
      </c>
      <c r="J64" s="2" t="s">
        <v>27</v>
      </c>
      <c r="K64" s="2" t="s">
        <v>99</v>
      </c>
      <c r="L64" s="2" t="s">
        <v>78</v>
      </c>
      <c r="M64" s="2">
        <v>1</v>
      </c>
      <c r="N64" s="3">
        <v>750000</v>
      </c>
      <c r="O64" s="3">
        <v>737689.32</v>
      </c>
      <c r="P64" s="4">
        <v>7.5</v>
      </c>
      <c r="Q64" s="2">
        <v>0</v>
      </c>
      <c r="R64" s="3">
        <v>737689.32</v>
      </c>
      <c r="S64" s="3">
        <v>55326.7</v>
      </c>
      <c r="T64" s="3">
        <v>682362.62</v>
      </c>
      <c r="U64" t="str">
        <f t="shared" si="0"/>
        <v>Not achive</v>
      </c>
    </row>
    <row r="65" spans="1:21" x14ac:dyDescent="0.3">
      <c r="A65" s="2">
        <v>800128</v>
      </c>
      <c r="B65" s="10">
        <v>45424</v>
      </c>
      <c r="C65" s="2" t="s">
        <v>69</v>
      </c>
      <c r="D65" s="2" t="s">
        <v>70</v>
      </c>
      <c r="E65" s="2" t="s">
        <v>71</v>
      </c>
      <c r="F65" s="2" t="s">
        <v>46</v>
      </c>
      <c r="G65" s="2" t="s">
        <v>66</v>
      </c>
      <c r="H65" s="2" t="s">
        <v>25</v>
      </c>
      <c r="I65" s="2" t="s">
        <v>43</v>
      </c>
      <c r="J65" s="2" t="s">
        <v>101</v>
      </c>
      <c r="K65" s="2" t="s">
        <v>102</v>
      </c>
      <c r="L65" s="2" t="s">
        <v>29</v>
      </c>
      <c r="M65" s="2">
        <v>4</v>
      </c>
      <c r="N65" s="3">
        <v>1000000</v>
      </c>
      <c r="O65" s="3">
        <v>972662.84</v>
      </c>
      <c r="P65" s="4">
        <v>7.5</v>
      </c>
      <c r="Q65" s="2">
        <v>0</v>
      </c>
      <c r="R65" s="3">
        <v>3890651.36</v>
      </c>
      <c r="S65" s="3">
        <v>291798.84999999998</v>
      </c>
      <c r="T65" s="3">
        <v>3598852.51</v>
      </c>
      <c r="U65" t="str">
        <f t="shared" si="0"/>
        <v>Achive</v>
      </c>
    </row>
    <row r="66" spans="1:21" x14ac:dyDescent="0.3">
      <c r="A66" s="2">
        <v>800358</v>
      </c>
      <c r="B66" s="10">
        <v>45424</v>
      </c>
      <c r="C66" s="2" t="s">
        <v>69</v>
      </c>
      <c r="D66" s="2" t="s">
        <v>83</v>
      </c>
      <c r="E66" s="2" t="s">
        <v>84</v>
      </c>
      <c r="F66" s="2" t="s">
        <v>23</v>
      </c>
      <c r="G66" s="2" t="s">
        <v>66</v>
      </c>
      <c r="H66" s="2" t="s">
        <v>25</v>
      </c>
      <c r="I66" s="2" t="s">
        <v>26</v>
      </c>
      <c r="J66" s="2" t="s">
        <v>48</v>
      </c>
      <c r="K66" s="2" t="s">
        <v>89</v>
      </c>
      <c r="L66" s="2" t="s">
        <v>78</v>
      </c>
      <c r="M66" s="2">
        <v>2</v>
      </c>
      <c r="N66" s="3">
        <v>1200000</v>
      </c>
      <c r="O66" s="3">
        <v>1197100.31</v>
      </c>
      <c r="P66" s="4">
        <v>0</v>
      </c>
      <c r="Q66" s="2">
        <v>0</v>
      </c>
      <c r="R66" s="3">
        <v>2394200.62</v>
      </c>
      <c r="S66" s="3">
        <v>0</v>
      </c>
      <c r="T66" s="3">
        <v>2394200.62</v>
      </c>
      <c r="U66" t="str">
        <f t="shared" ref="U66:U129" si="1">IF(T66&gt;2000000,"Achive","Not achive")</f>
        <v>Achive</v>
      </c>
    </row>
    <row r="67" spans="1:21" x14ac:dyDescent="0.3">
      <c r="A67" s="2">
        <v>800522</v>
      </c>
      <c r="B67" s="10">
        <v>45424</v>
      </c>
      <c r="C67" s="2" t="s">
        <v>69</v>
      </c>
      <c r="D67" s="2" t="s">
        <v>70</v>
      </c>
      <c r="E67" s="2" t="s">
        <v>71</v>
      </c>
      <c r="F67" s="2" t="s">
        <v>32</v>
      </c>
      <c r="G67" s="2" t="s">
        <v>116</v>
      </c>
      <c r="H67" s="2" t="s">
        <v>25</v>
      </c>
      <c r="I67" s="2" t="s">
        <v>26</v>
      </c>
      <c r="J67" s="2" t="s">
        <v>57</v>
      </c>
      <c r="K67" s="2" t="s">
        <v>58</v>
      </c>
      <c r="L67" s="2" t="s">
        <v>92</v>
      </c>
      <c r="M67" s="2">
        <v>2</v>
      </c>
      <c r="N67" s="3">
        <v>800000</v>
      </c>
      <c r="O67" s="3">
        <v>807106.47</v>
      </c>
      <c r="P67" s="4">
        <v>0</v>
      </c>
      <c r="Q67" s="2">
        <v>0</v>
      </c>
      <c r="R67" s="3">
        <v>1614212.94</v>
      </c>
      <c r="S67" s="3">
        <v>0</v>
      </c>
      <c r="T67" s="3">
        <v>1614212.94</v>
      </c>
      <c r="U67" t="str">
        <f t="shared" si="1"/>
        <v>Not achive</v>
      </c>
    </row>
    <row r="68" spans="1:21" x14ac:dyDescent="0.3">
      <c r="A68" s="2">
        <v>800551</v>
      </c>
      <c r="B68" s="10">
        <v>45425</v>
      </c>
      <c r="C68" s="2" t="s">
        <v>69</v>
      </c>
      <c r="D68" s="2" t="s">
        <v>70</v>
      </c>
      <c r="E68" s="2" t="s">
        <v>93</v>
      </c>
      <c r="F68" s="2" t="s">
        <v>41</v>
      </c>
      <c r="G68" s="2" t="s">
        <v>24</v>
      </c>
      <c r="H68" s="2" t="s">
        <v>25</v>
      </c>
      <c r="I68" s="2" t="s">
        <v>26</v>
      </c>
      <c r="J68" s="2" t="s">
        <v>127</v>
      </c>
      <c r="K68" s="2" t="s">
        <v>99</v>
      </c>
      <c r="L68" s="2" t="s">
        <v>122</v>
      </c>
      <c r="M68" s="2">
        <v>3</v>
      </c>
      <c r="N68" s="3">
        <v>650000</v>
      </c>
      <c r="O68" s="3">
        <v>647609.1</v>
      </c>
      <c r="P68" s="4">
        <v>5</v>
      </c>
      <c r="Q68" s="2">
        <v>0</v>
      </c>
      <c r="R68" s="3">
        <v>1942827.3</v>
      </c>
      <c r="S68" s="3">
        <v>97141.37</v>
      </c>
      <c r="T68" s="3">
        <v>1845685.93</v>
      </c>
      <c r="U68" t="str">
        <f t="shared" si="1"/>
        <v>Not achive</v>
      </c>
    </row>
    <row r="69" spans="1:21" x14ac:dyDescent="0.3">
      <c r="A69" s="2">
        <v>800132</v>
      </c>
      <c r="B69" s="10">
        <v>45426</v>
      </c>
      <c r="C69" s="2" t="s">
        <v>69</v>
      </c>
      <c r="D69" s="2" t="s">
        <v>83</v>
      </c>
      <c r="E69" s="2" t="s">
        <v>97</v>
      </c>
      <c r="F69" s="2" t="s">
        <v>65</v>
      </c>
      <c r="G69" s="2" t="s">
        <v>72</v>
      </c>
      <c r="H69" s="2" t="s">
        <v>25</v>
      </c>
      <c r="I69" s="2" t="s">
        <v>26</v>
      </c>
      <c r="J69" s="2" t="s">
        <v>127</v>
      </c>
      <c r="K69" s="2" t="s">
        <v>99</v>
      </c>
      <c r="L69" s="2" t="s">
        <v>123</v>
      </c>
      <c r="M69" s="2">
        <v>1</v>
      </c>
      <c r="N69" s="3">
        <v>650000</v>
      </c>
      <c r="O69" s="3">
        <v>649046.56999999995</v>
      </c>
      <c r="P69" s="4">
        <v>0</v>
      </c>
      <c r="Q69" s="2">
        <v>0</v>
      </c>
      <c r="R69" s="3">
        <v>649046.56999999995</v>
      </c>
      <c r="S69" s="3">
        <v>0</v>
      </c>
      <c r="T69" s="3">
        <v>649046.56999999995</v>
      </c>
      <c r="U69" t="str">
        <f t="shared" si="1"/>
        <v>Not achive</v>
      </c>
    </row>
    <row r="70" spans="1:21" x14ac:dyDescent="0.3">
      <c r="A70" s="2">
        <v>800258</v>
      </c>
      <c r="B70" s="10">
        <v>45426</v>
      </c>
      <c r="C70" s="2" t="s">
        <v>69</v>
      </c>
      <c r="D70" s="2" t="s">
        <v>83</v>
      </c>
      <c r="E70" s="2" t="s">
        <v>84</v>
      </c>
      <c r="F70" s="2" t="s">
        <v>41</v>
      </c>
      <c r="G70" s="2" t="s">
        <v>116</v>
      </c>
      <c r="H70" s="2" t="s">
        <v>25</v>
      </c>
      <c r="I70" s="2" t="s">
        <v>43</v>
      </c>
      <c r="J70" s="2" t="s">
        <v>101</v>
      </c>
      <c r="K70" s="2" t="s">
        <v>45</v>
      </c>
      <c r="L70" s="2" t="s">
        <v>59</v>
      </c>
      <c r="M70" s="2">
        <v>4</v>
      </c>
      <c r="N70" s="3">
        <v>1000000</v>
      </c>
      <c r="O70" s="3">
        <v>1005042.35</v>
      </c>
      <c r="P70" s="4">
        <v>7.5</v>
      </c>
      <c r="Q70" s="2">
        <v>0</v>
      </c>
      <c r="R70" s="3">
        <v>4020169.4</v>
      </c>
      <c r="S70" s="3">
        <v>301512.71000000002</v>
      </c>
      <c r="T70" s="3">
        <v>3718656.69</v>
      </c>
      <c r="U70" t="str">
        <f t="shared" si="1"/>
        <v>Achive</v>
      </c>
    </row>
    <row r="71" spans="1:21" x14ac:dyDescent="0.3">
      <c r="A71" s="2">
        <v>800248</v>
      </c>
      <c r="B71" s="10">
        <v>45427</v>
      </c>
      <c r="C71" s="2" t="s">
        <v>69</v>
      </c>
      <c r="D71" s="2" t="s">
        <v>95</v>
      </c>
      <c r="E71" s="2" t="s">
        <v>96</v>
      </c>
      <c r="F71" s="2" t="s">
        <v>65</v>
      </c>
      <c r="G71" s="2" t="s">
        <v>72</v>
      </c>
      <c r="H71" s="2" t="s">
        <v>25</v>
      </c>
      <c r="I71" s="2" t="s">
        <v>67</v>
      </c>
      <c r="J71" s="2" t="s">
        <v>112</v>
      </c>
      <c r="K71" s="2" t="s">
        <v>58</v>
      </c>
      <c r="L71" s="2" t="s">
        <v>78</v>
      </c>
      <c r="M71" s="2">
        <v>3</v>
      </c>
      <c r="N71" s="3">
        <v>1250000</v>
      </c>
      <c r="O71" s="3">
        <v>1239842.8799999999</v>
      </c>
      <c r="P71" s="4">
        <v>2</v>
      </c>
      <c r="Q71" s="2">
        <v>0</v>
      </c>
      <c r="R71" s="3">
        <v>3719528.64</v>
      </c>
      <c r="S71" s="3">
        <v>74390.570000000007</v>
      </c>
      <c r="T71" s="3">
        <v>3645138.07</v>
      </c>
      <c r="U71" t="str">
        <f t="shared" si="1"/>
        <v>Achive</v>
      </c>
    </row>
    <row r="72" spans="1:21" x14ac:dyDescent="0.3">
      <c r="A72" s="2">
        <v>800553</v>
      </c>
      <c r="B72" s="10">
        <v>45427</v>
      </c>
      <c r="C72" s="2" t="s">
        <v>20</v>
      </c>
      <c r="D72" s="2" t="s">
        <v>21</v>
      </c>
      <c r="E72" s="2" t="s">
        <v>22</v>
      </c>
      <c r="F72" s="2" t="s">
        <v>65</v>
      </c>
      <c r="G72" s="2" t="s">
        <v>72</v>
      </c>
      <c r="H72" s="2" t="s">
        <v>25</v>
      </c>
      <c r="I72" s="2" t="s">
        <v>26</v>
      </c>
      <c r="J72" s="2" t="s">
        <v>105</v>
      </c>
      <c r="K72" s="2" t="s">
        <v>49</v>
      </c>
      <c r="L72" s="2" t="s">
        <v>78</v>
      </c>
      <c r="M72" s="2">
        <v>2</v>
      </c>
      <c r="N72" s="3">
        <v>950000</v>
      </c>
      <c r="O72" s="3">
        <v>938189.36</v>
      </c>
      <c r="P72" s="4">
        <v>12.5</v>
      </c>
      <c r="Q72" s="2">
        <v>0</v>
      </c>
      <c r="R72" s="3">
        <v>1876378.72</v>
      </c>
      <c r="S72" s="3">
        <v>234547.34</v>
      </c>
      <c r="T72" s="3">
        <v>1641831.38</v>
      </c>
      <c r="U72" t="str">
        <f t="shared" si="1"/>
        <v>Not achive</v>
      </c>
    </row>
    <row r="73" spans="1:21" x14ac:dyDescent="0.3">
      <c r="A73" s="2">
        <v>800631</v>
      </c>
      <c r="B73" s="10">
        <v>45427</v>
      </c>
      <c r="C73" s="2" t="s">
        <v>20</v>
      </c>
      <c r="D73" s="2" t="s">
        <v>74</v>
      </c>
      <c r="E73" s="2" t="s">
        <v>113</v>
      </c>
      <c r="F73" s="2" t="s">
        <v>32</v>
      </c>
      <c r="G73" s="2" t="s">
        <v>33</v>
      </c>
      <c r="H73" s="2" t="s">
        <v>25</v>
      </c>
      <c r="I73" s="2" t="s">
        <v>26</v>
      </c>
      <c r="J73" s="2" t="s">
        <v>48</v>
      </c>
      <c r="K73" s="2" t="s">
        <v>89</v>
      </c>
      <c r="L73" s="2" t="s">
        <v>92</v>
      </c>
      <c r="M73" s="2">
        <v>3</v>
      </c>
      <c r="N73" s="3">
        <v>1200000</v>
      </c>
      <c r="O73" s="3">
        <v>1185643.73</v>
      </c>
      <c r="P73" s="4">
        <v>10</v>
      </c>
      <c r="Q73" s="2">
        <v>0</v>
      </c>
      <c r="R73" s="3">
        <v>3556931.19</v>
      </c>
      <c r="S73" s="3">
        <v>355693.12</v>
      </c>
      <c r="T73" s="3">
        <v>3201238.07</v>
      </c>
      <c r="U73" t="str">
        <f t="shared" si="1"/>
        <v>Achive</v>
      </c>
    </row>
    <row r="74" spans="1:21" x14ac:dyDescent="0.3">
      <c r="A74" s="2">
        <v>800638</v>
      </c>
      <c r="B74" s="10">
        <v>45427</v>
      </c>
      <c r="C74" s="2" t="s">
        <v>20</v>
      </c>
      <c r="D74" s="2" t="s">
        <v>21</v>
      </c>
      <c r="E74" s="2" t="s">
        <v>22</v>
      </c>
      <c r="F74" s="2" t="s">
        <v>23</v>
      </c>
      <c r="G74" s="2" t="s">
        <v>72</v>
      </c>
      <c r="H74" s="2" t="s">
        <v>25</v>
      </c>
      <c r="I74" s="2" t="s">
        <v>43</v>
      </c>
      <c r="J74" s="2" t="s">
        <v>44</v>
      </c>
      <c r="K74" s="2" t="s">
        <v>129</v>
      </c>
      <c r="L74" s="2" t="s">
        <v>37</v>
      </c>
      <c r="M74" s="2">
        <v>2</v>
      </c>
      <c r="N74" s="3">
        <v>800000</v>
      </c>
      <c r="O74" s="3">
        <v>800873.7</v>
      </c>
      <c r="P74" s="4">
        <v>5</v>
      </c>
      <c r="Q74" s="2">
        <v>0</v>
      </c>
      <c r="R74" s="3">
        <v>1601747.4</v>
      </c>
      <c r="S74" s="3">
        <v>80087.37</v>
      </c>
      <c r="T74" s="3">
        <v>1521660.03</v>
      </c>
      <c r="U74" t="str">
        <f t="shared" si="1"/>
        <v>Not achive</v>
      </c>
    </row>
    <row r="75" spans="1:21" x14ac:dyDescent="0.3">
      <c r="A75" s="2">
        <v>800277</v>
      </c>
      <c r="B75" s="10">
        <v>45428</v>
      </c>
      <c r="C75" s="2" t="s">
        <v>69</v>
      </c>
      <c r="D75" s="2" t="s">
        <v>83</v>
      </c>
      <c r="E75" s="2" t="s">
        <v>97</v>
      </c>
      <c r="F75" s="2" t="s">
        <v>23</v>
      </c>
      <c r="G75" s="2" t="s">
        <v>100</v>
      </c>
      <c r="H75" s="2" t="s">
        <v>25</v>
      </c>
      <c r="I75" s="2" t="s">
        <v>26</v>
      </c>
      <c r="J75" s="2" t="s">
        <v>105</v>
      </c>
      <c r="K75" s="2" t="s">
        <v>82</v>
      </c>
      <c r="L75" s="2" t="s">
        <v>50</v>
      </c>
      <c r="M75" s="2">
        <v>1</v>
      </c>
      <c r="N75" s="3">
        <v>950000</v>
      </c>
      <c r="O75" s="3">
        <v>937973.48</v>
      </c>
      <c r="P75" s="4">
        <v>7.5</v>
      </c>
      <c r="Q75" s="2">
        <v>0</v>
      </c>
      <c r="R75" s="3">
        <v>937973.48</v>
      </c>
      <c r="S75" s="3">
        <v>70348.009999999995</v>
      </c>
      <c r="T75" s="3">
        <v>867625.47</v>
      </c>
      <c r="U75" t="str">
        <f t="shared" si="1"/>
        <v>Not achive</v>
      </c>
    </row>
    <row r="76" spans="1:21" x14ac:dyDescent="0.3">
      <c r="A76" s="2">
        <v>800294</v>
      </c>
      <c r="B76" s="10">
        <v>45428</v>
      </c>
      <c r="C76" s="2" t="s">
        <v>38</v>
      </c>
      <c r="D76" s="2" t="s">
        <v>118</v>
      </c>
      <c r="E76" s="2" t="s">
        <v>125</v>
      </c>
      <c r="F76" s="2" t="s">
        <v>41</v>
      </c>
      <c r="G76" s="2" t="s">
        <v>90</v>
      </c>
      <c r="H76" s="2" t="s">
        <v>25</v>
      </c>
      <c r="I76" s="2" t="s">
        <v>26</v>
      </c>
      <c r="J76" s="2" t="s">
        <v>57</v>
      </c>
      <c r="K76" s="2" t="s">
        <v>103</v>
      </c>
      <c r="L76" s="2" t="s">
        <v>37</v>
      </c>
      <c r="M76" s="2">
        <v>2</v>
      </c>
      <c r="N76" s="3">
        <v>800000</v>
      </c>
      <c r="O76" s="3">
        <v>786776.8</v>
      </c>
      <c r="P76" s="4">
        <v>10</v>
      </c>
      <c r="Q76" s="2">
        <v>0</v>
      </c>
      <c r="R76" s="3">
        <v>1573553.6</v>
      </c>
      <c r="S76" s="3">
        <v>157355.35999999999</v>
      </c>
      <c r="T76" s="3">
        <v>1416198.24</v>
      </c>
      <c r="U76" t="str">
        <f t="shared" si="1"/>
        <v>Not achive</v>
      </c>
    </row>
    <row r="77" spans="1:21" x14ac:dyDescent="0.3">
      <c r="A77" s="2">
        <v>800309</v>
      </c>
      <c r="B77" s="10">
        <v>45428</v>
      </c>
      <c r="C77" s="2" t="s">
        <v>38</v>
      </c>
      <c r="D77" s="2" t="s">
        <v>79</v>
      </c>
      <c r="E77" s="2" t="s">
        <v>80</v>
      </c>
      <c r="F77" s="2" t="s">
        <v>41</v>
      </c>
      <c r="G77" s="2" t="s">
        <v>116</v>
      </c>
      <c r="H77" s="2" t="s">
        <v>25</v>
      </c>
      <c r="I77" s="2" t="s">
        <v>26</v>
      </c>
      <c r="J77" s="2" t="s">
        <v>48</v>
      </c>
      <c r="K77" s="2" t="s">
        <v>89</v>
      </c>
      <c r="L77" s="2" t="s">
        <v>122</v>
      </c>
      <c r="M77" s="2">
        <v>1</v>
      </c>
      <c r="N77" s="3">
        <v>1200000</v>
      </c>
      <c r="O77" s="3">
        <v>1198576.73</v>
      </c>
      <c r="P77" s="4">
        <v>0</v>
      </c>
      <c r="Q77" s="2">
        <v>0</v>
      </c>
      <c r="R77" s="3">
        <v>1198576.73</v>
      </c>
      <c r="S77" s="3">
        <v>0</v>
      </c>
      <c r="T77" s="3">
        <v>1198576.73</v>
      </c>
      <c r="U77" t="str">
        <f t="shared" si="1"/>
        <v>Not achive</v>
      </c>
    </row>
    <row r="78" spans="1:21" x14ac:dyDescent="0.3">
      <c r="A78" s="2">
        <v>800404</v>
      </c>
      <c r="B78" s="10">
        <v>45428</v>
      </c>
      <c r="C78" s="2" t="s">
        <v>69</v>
      </c>
      <c r="D78" s="2" t="s">
        <v>83</v>
      </c>
      <c r="E78" s="2" t="s">
        <v>84</v>
      </c>
      <c r="F78" s="2" t="s">
        <v>32</v>
      </c>
      <c r="G78" s="2" t="s">
        <v>72</v>
      </c>
      <c r="H78" s="2" t="s">
        <v>25</v>
      </c>
      <c r="I78" s="2" t="s">
        <v>67</v>
      </c>
      <c r="J78" s="2" t="s">
        <v>108</v>
      </c>
      <c r="K78" s="2" t="s">
        <v>91</v>
      </c>
      <c r="L78" s="2" t="s">
        <v>59</v>
      </c>
      <c r="M78" s="2">
        <v>2</v>
      </c>
      <c r="N78" s="3">
        <v>1800000</v>
      </c>
      <c r="O78" s="3">
        <v>1827803.08</v>
      </c>
      <c r="P78" s="4">
        <v>12.5</v>
      </c>
      <c r="Q78" s="2">
        <v>0</v>
      </c>
      <c r="R78" s="3">
        <v>3655606.16</v>
      </c>
      <c r="S78" s="3">
        <v>456950.77</v>
      </c>
      <c r="T78" s="3">
        <v>3198655.39</v>
      </c>
      <c r="U78" t="str">
        <f t="shared" si="1"/>
        <v>Achive</v>
      </c>
    </row>
    <row r="79" spans="1:21" x14ac:dyDescent="0.3">
      <c r="A79" s="2">
        <v>800238</v>
      </c>
      <c r="B79" s="10">
        <v>45429</v>
      </c>
      <c r="C79" s="2" t="s">
        <v>38</v>
      </c>
      <c r="D79" s="2" t="s">
        <v>39</v>
      </c>
      <c r="E79" s="2" t="s">
        <v>40</v>
      </c>
      <c r="F79" s="2" t="s">
        <v>46</v>
      </c>
      <c r="G79" s="2" t="s">
        <v>116</v>
      </c>
      <c r="H79" s="2" t="s">
        <v>25</v>
      </c>
      <c r="I79" s="2" t="s">
        <v>67</v>
      </c>
      <c r="J79" s="2" t="s">
        <v>85</v>
      </c>
      <c r="K79" s="2" t="s">
        <v>91</v>
      </c>
      <c r="L79" s="2" t="s">
        <v>78</v>
      </c>
      <c r="M79" s="2">
        <v>3</v>
      </c>
      <c r="N79" s="3">
        <v>1500000</v>
      </c>
      <c r="O79" s="3">
        <v>1507458.1</v>
      </c>
      <c r="P79" s="4">
        <v>2</v>
      </c>
      <c r="Q79" s="2">
        <v>0</v>
      </c>
      <c r="R79" s="3">
        <v>4522374.3</v>
      </c>
      <c r="S79" s="3">
        <v>90447.49</v>
      </c>
      <c r="T79" s="3">
        <v>4431926.8099999996</v>
      </c>
      <c r="U79" t="str">
        <f t="shared" si="1"/>
        <v>Achive</v>
      </c>
    </row>
    <row r="80" spans="1:21" x14ac:dyDescent="0.3">
      <c r="A80" s="2">
        <v>800261</v>
      </c>
      <c r="B80" s="10">
        <v>45429</v>
      </c>
      <c r="C80" s="2" t="s">
        <v>20</v>
      </c>
      <c r="D80" s="2" t="s">
        <v>74</v>
      </c>
      <c r="E80" s="2" t="s">
        <v>113</v>
      </c>
      <c r="F80" s="2" t="s">
        <v>23</v>
      </c>
      <c r="G80" s="2" t="s">
        <v>61</v>
      </c>
      <c r="H80" s="2" t="s">
        <v>25</v>
      </c>
      <c r="I80" s="2" t="s">
        <v>67</v>
      </c>
      <c r="J80" s="2" t="s">
        <v>108</v>
      </c>
      <c r="K80" s="2" t="s">
        <v>62</v>
      </c>
      <c r="L80" s="2" t="s">
        <v>122</v>
      </c>
      <c r="M80" s="2">
        <v>2</v>
      </c>
      <c r="N80" s="3">
        <v>1800000</v>
      </c>
      <c r="O80" s="3">
        <v>1773747.69</v>
      </c>
      <c r="P80" s="4">
        <v>5</v>
      </c>
      <c r="Q80" s="2">
        <v>0</v>
      </c>
      <c r="R80" s="3">
        <v>3547495.38</v>
      </c>
      <c r="S80" s="3">
        <v>177374.77</v>
      </c>
      <c r="T80" s="3">
        <v>3370120.61</v>
      </c>
      <c r="U80" t="str">
        <f t="shared" si="1"/>
        <v>Achive</v>
      </c>
    </row>
    <row r="81" spans="1:21" x14ac:dyDescent="0.3">
      <c r="A81" s="2">
        <v>800596</v>
      </c>
      <c r="B81" s="10">
        <v>45429</v>
      </c>
      <c r="C81" s="2" t="s">
        <v>38</v>
      </c>
      <c r="D81" s="2" t="s">
        <v>39</v>
      </c>
      <c r="E81" s="2" t="s">
        <v>40</v>
      </c>
      <c r="F81" s="2" t="s">
        <v>46</v>
      </c>
      <c r="G81" s="2" t="s">
        <v>90</v>
      </c>
      <c r="H81" s="2" t="s">
        <v>25</v>
      </c>
      <c r="I81" s="2" t="s">
        <v>26</v>
      </c>
      <c r="J81" s="2" t="s">
        <v>27</v>
      </c>
      <c r="K81" s="2" t="s">
        <v>99</v>
      </c>
      <c r="L81" s="2" t="s">
        <v>59</v>
      </c>
      <c r="M81" s="2">
        <v>1</v>
      </c>
      <c r="N81" s="3">
        <v>750000</v>
      </c>
      <c r="O81" s="3">
        <v>747073.41</v>
      </c>
      <c r="P81" s="4">
        <v>5</v>
      </c>
      <c r="Q81" s="2">
        <v>0</v>
      </c>
      <c r="R81" s="3">
        <v>747073.41</v>
      </c>
      <c r="S81" s="3">
        <v>37353.67</v>
      </c>
      <c r="T81" s="3">
        <v>709719.74</v>
      </c>
      <c r="U81" t="str">
        <f t="shared" si="1"/>
        <v>Not achive</v>
      </c>
    </row>
    <row r="82" spans="1:21" x14ac:dyDescent="0.3">
      <c r="A82" s="2">
        <v>800234</v>
      </c>
      <c r="B82" s="10">
        <v>45430</v>
      </c>
      <c r="C82" s="2" t="s">
        <v>20</v>
      </c>
      <c r="D82" s="2" t="s">
        <v>21</v>
      </c>
      <c r="E82" s="2" t="s">
        <v>98</v>
      </c>
      <c r="F82" s="2" t="s">
        <v>23</v>
      </c>
      <c r="G82" s="2" t="s">
        <v>94</v>
      </c>
      <c r="H82" s="2" t="s">
        <v>25</v>
      </c>
      <c r="I82" s="2" t="s">
        <v>26</v>
      </c>
      <c r="J82" s="2" t="s">
        <v>120</v>
      </c>
      <c r="K82" s="2" t="s">
        <v>77</v>
      </c>
      <c r="L82" s="2" t="s">
        <v>123</v>
      </c>
      <c r="M82" s="2">
        <v>2</v>
      </c>
      <c r="N82" s="3">
        <v>1900000</v>
      </c>
      <c r="O82" s="3">
        <v>1933274.14</v>
      </c>
      <c r="P82" s="4">
        <v>7.5</v>
      </c>
      <c r="Q82" s="2">
        <v>0</v>
      </c>
      <c r="R82" s="3">
        <v>3866548.28</v>
      </c>
      <c r="S82" s="3">
        <v>289991.12</v>
      </c>
      <c r="T82" s="3">
        <v>3576557.16</v>
      </c>
      <c r="U82" t="str">
        <f t="shared" si="1"/>
        <v>Achive</v>
      </c>
    </row>
    <row r="83" spans="1:21" x14ac:dyDescent="0.3">
      <c r="A83" s="2">
        <v>800321</v>
      </c>
      <c r="B83" s="10">
        <v>45430</v>
      </c>
      <c r="C83" s="2" t="s">
        <v>51</v>
      </c>
      <c r="D83" s="2" t="s">
        <v>106</v>
      </c>
      <c r="E83" s="2" t="s">
        <v>128</v>
      </c>
      <c r="F83" s="2" t="s">
        <v>46</v>
      </c>
      <c r="G83" s="2" t="s">
        <v>42</v>
      </c>
      <c r="H83" s="2" t="s">
        <v>25</v>
      </c>
      <c r="I83" s="2" t="s">
        <v>26</v>
      </c>
      <c r="J83" s="2" t="s">
        <v>81</v>
      </c>
      <c r="K83" s="2" t="s">
        <v>49</v>
      </c>
      <c r="L83" s="2" t="s">
        <v>123</v>
      </c>
      <c r="M83" s="2">
        <v>2</v>
      </c>
      <c r="N83" s="3">
        <v>1700000</v>
      </c>
      <c r="O83" s="3">
        <v>1725034.85</v>
      </c>
      <c r="P83" s="4">
        <v>5</v>
      </c>
      <c r="Q83" s="2">
        <v>0</v>
      </c>
      <c r="R83" s="3">
        <v>3450069.7</v>
      </c>
      <c r="S83" s="3">
        <v>172503.48</v>
      </c>
      <c r="T83" s="3">
        <v>3277566.22</v>
      </c>
      <c r="U83" t="str">
        <f t="shared" si="1"/>
        <v>Achive</v>
      </c>
    </row>
    <row r="84" spans="1:21" x14ac:dyDescent="0.3">
      <c r="A84" s="2">
        <v>800120</v>
      </c>
      <c r="B84" s="10">
        <v>45431</v>
      </c>
      <c r="C84" s="2" t="s">
        <v>69</v>
      </c>
      <c r="D84" s="2" t="s">
        <v>70</v>
      </c>
      <c r="E84" s="2" t="s">
        <v>93</v>
      </c>
      <c r="F84" s="2" t="s">
        <v>65</v>
      </c>
      <c r="G84" s="2" t="s">
        <v>72</v>
      </c>
      <c r="H84" s="2" t="s">
        <v>25</v>
      </c>
      <c r="I84" s="2" t="s">
        <v>67</v>
      </c>
      <c r="J84" s="2" t="s">
        <v>85</v>
      </c>
      <c r="K84" s="2" t="s">
        <v>86</v>
      </c>
      <c r="L84" s="2" t="s">
        <v>92</v>
      </c>
      <c r="M84" s="2">
        <v>1</v>
      </c>
      <c r="N84" s="3">
        <v>1500000</v>
      </c>
      <c r="O84" s="3">
        <v>1514192.02</v>
      </c>
      <c r="P84" s="4">
        <v>7.5</v>
      </c>
      <c r="Q84" s="2">
        <v>0</v>
      </c>
      <c r="R84" s="3">
        <v>1514192.02</v>
      </c>
      <c r="S84" s="3">
        <v>113564.4</v>
      </c>
      <c r="T84" s="3">
        <v>1400627.62</v>
      </c>
      <c r="U84" t="str">
        <f t="shared" si="1"/>
        <v>Not achive</v>
      </c>
    </row>
    <row r="85" spans="1:21" x14ac:dyDescent="0.3">
      <c r="A85" s="2">
        <v>800412</v>
      </c>
      <c r="B85" s="10">
        <v>45431</v>
      </c>
      <c r="C85" s="2" t="s">
        <v>20</v>
      </c>
      <c r="D85" s="2" t="s">
        <v>21</v>
      </c>
      <c r="E85" s="2" t="s">
        <v>98</v>
      </c>
      <c r="F85" s="2" t="s">
        <v>46</v>
      </c>
      <c r="G85" s="2" t="s">
        <v>72</v>
      </c>
      <c r="H85" s="2" t="s">
        <v>25</v>
      </c>
      <c r="I85" s="2" t="s">
        <v>34</v>
      </c>
      <c r="J85" s="2" t="s">
        <v>35</v>
      </c>
      <c r="K85" s="2" t="s">
        <v>36</v>
      </c>
      <c r="L85" s="2" t="s">
        <v>122</v>
      </c>
      <c r="M85" s="2">
        <v>6</v>
      </c>
      <c r="N85" s="3">
        <v>550000</v>
      </c>
      <c r="O85" s="3">
        <v>560849.72</v>
      </c>
      <c r="P85" s="4">
        <v>2</v>
      </c>
      <c r="Q85" s="2">
        <v>0</v>
      </c>
      <c r="R85" s="3">
        <v>3365098.32</v>
      </c>
      <c r="S85" s="3">
        <v>67301.97</v>
      </c>
      <c r="T85" s="3">
        <v>3297796.35</v>
      </c>
      <c r="U85" t="str">
        <f t="shared" si="1"/>
        <v>Achive</v>
      </c>
    </row>
    <row r="86" spans="1:21" x14ac:dyDescent="0.3">
      <c r="A86" s="2">
        <v>800586</v>
      </c>
      <c r="B86" s="10">
        <v>45434</v>
      </c>
      <c r="C86" s="2" t="s">
        <v>20</v>
      </c>
      <c r="D86" s="2" t="s">
        <v>74</v>
      </c>
      <c r="E86" s="2" t="s">
        <v>75</v>
      </c>
      <c r="F86" s="2" t="s">
        <v>23</v>
      </c>
      <c r="G86" s="2" t="s">
        <v>54</v>
      </c>
      <c r="H86" s="2" t="s">
        <v>25</v>
      </c>
      <c r="I86" s="2" t="s">
        <v>26</v>
      </c>
      <c r="J86" s="2" t="s">
        <v>127</v>
      </c>
      <c r="K86" s="2" t="s">
        <v>130</v>
      </c>
      <c r="L86" s="2" t="s">
        <v>87</v>
      </c>
      <c r="M86" s="2">
        <v>3</v>
      </c>
      <c r="N86" s="3">
        <v>650000</v>
      </c>
      <c r="O86" s="3">
        <v>643184.78</v>
      </c>
      <c r="P86" s="4">
        <v>0</v>
      </c>
      <c r="Q86" s="2">
        <v>0</v>
      </c>
      <c r="R86" s="3">
        <v>1929554.34</v>
      </c>
      <c r="S86" s="3">
        <v>0</v>
      </c>
      <c r="T86" s="3">
        <v>1929554.34</v>
      </c>
      <c r="U86" t="str">
        <f t="shared" si="1"/>
        <v>Not achive</v>
      </c>
    </row>
    <row r="87" spans="1:21" x14ac:dyDescent="0.3">
      <c r="A87" s="2">
        <v>800602</v>
      </c>
      <c r="B87" s="10">
        <v>45434</v>
      </c>
      <c r="C87" s="2" t="s">
        <v>38</v>
      </c>
      <c r="D87" s="2" t="s">
        <v>63</v>
      </c>
      <c r="E87" s="2" t="s">
        <v>114</v>
      </c>
      <c r="F87" s="2" t="s">
        <v>65</v>
      </c>
      <c r="G87" s="2" t="s">
        <v>61</v>
      </c>
      <c r="H87" s="2" t="s">
        <v>25</v>
      </c>
      <c r="I87" s="2" t="s">
        <v>43</v>
      </c>
      <c r="J87" s="2" t="s">
        <v>44</v>
      </c>
      <c r="K87" s="2" t="s">
        <v>129</v>
      </c>
      <c r="L87" s="2" t="s">
        <v>37</v>
      </c>
      <c r="M87" s="2">
        <v>6</v>
      </c>
      <c r="N87" s="3">
        <v>800000</v>
      </c>
      <c r="O87" s="3">
        <v>792518.45</v>
      </c>
      <c r="P87" s="4">
        <v>7.5</v>
      </c>
      <c r="Q87" s="2">
        <v>0</v>
      </c>
      <c r="R87" s="3">
        <v>4755110.7</v>
      </c>
      <c r="S87" s="3">
        <v>356633.3</v>
      </c>
      <c r="T87" s="3">
        <v>4398477.4000000004</v>
      </c>
      <c r="U87" t="str">
        <f t="shared" si="1"/>
        <v>Achive</v>
      </c>
    </row>
    <row r="88" spans="1:21" x14ac:dyDescent="0.3">
      <c r="A88" s="2">
        <v>800316</v>
      </c>
      <c r="B88" s="10">
        <v>45436</v>
      </c>
      <c r="C88" s="2" t="s">
        <v>51</v>
      </c>
      <c r="D88" s="2" t="s">
        <v>55</v>
      </c>
      <c r="E88" s="2" t="s">
        <v>104</v>
      </c>
      <c r="F88" s="2" t="s">
        <v>41</v>
      </c>
      <c r="G88" s="2" t="s">
        <v>42</v>
      </c>
      <c r="H88" s="2" t="s">
        <v>25</v>
      </c>
      <c r="I88" s="2" t="s">
        <v>67</v>
      </c>
      <c r="J88" s="2" t="s">
        <v>108</v>
      </c>
      <c r="K88" s="2" t="s">
        <v>62</v>
      </c>
      <c r="L88" s="2" t="s">
        <v>92</v>
      </c>
      <c r="M88" s="2">
        <v>3</v>
      </c>
      <c r="N88" s="3">
        <v>1800000</v>
      </c>
      <c r="O88" s="3">
        <v>1809065.37</v>
      </c>
      <c r="P88" s="4">
        <v>10</v>
      </c>
      <c r="Q88" s="2">
        <v>0</v>
      </c>
      <c r="R88" s="3">
        <v>5427196.1100000003</v>
      </c>
      <c r="S88" s="3">
        <v>542719.61</v>
      </c>
      <c r="T88" s="3">
        <v>4884476.5</v>
      </c>
      <c r="U88" t="str">
        <f t="shared" si="1"/>
        <v>Achive</v>
      </c>
    </row>
    <row r="89" spans="1:21" x14ac:dyDescent="0.3">
      <c r="A89" s="2">
        <v>800519</v>
      </c>
      <c r="B89" s="10">
        <v>45437</v>
      </c>
      <c r="C89" s="2" t="s">
        <v>69</v>
      </c>
      <c r="D89" s="2" t="s">
        <v>95</v>
      </c>
      <c r="E89" s="2" t="s">
        <v>131</v>
      </c>
      <c r="F89" s="2" t="s">
        <v>41</v>
      </c>
      <c r="G89" s="2" t="s">
        <v>47</v>
      </c>
      <c r="H89" s="2" t="s">
        <v>25</v>
      </c>
      <c r="I89" s="2" t="s">
        <v>43</v>
      </c>
      <c r="J89" s="2" t="s">
        <v>44</v>
      </c>
      <c r="K89" s="2" t="s">
        <v>45</v>
      </c>
      <c r="L89" s="2" t="s">
        <v>37</v>
      </c>
      <c r="M89" s="2">
        <v>5</v>
      </c>
      <c r="N89" s="3">
        <v>800000</v>
      </c>
      <c r="O89" s="3">
        <v>782827.58</v>
      </c>
      <c r="P89" s="4">
        <v>0</v>
      </c>
      <c r="Q89" s="2">
        <v>0</v>
      </c>
      <c r="R89" s="3">
        <v>3914137.9</v>
      </c>
      <c r="S89" s="3">
        <v>0</v>
      </c>
      <c r="T89" s="3">
        <v>3914137.9</v>
      </c>
      <c r="U89" t="str">
        <f t="shared" si="1"/>
        <v>Achive</v>
      </c>
    </row>
    <row r="90" spans="1:21" x14ac:dyDescent="0.3">
      <c r="A90" s="2">
        <v>800050</v>
      </c>
      <c r="B90" s="10">
        <v>45438</v>
      </c>
      <c r="C90" s="2" t="s">
        <v>51</v>
      </c>
      <c r="D90" s="2" t="s">
        <v>52</v>
      </c>
      <c r="E90" s="2" t="s">
        <v>132</v>
      </c>
      <c r="F90" s="2" t="s">
        <v>65</v>
      </c>
      <c r="G90" s="2" t="s">
        <v>24</v>
      </c>
      <c r="H90" s="2" t="s">
        <v>25</v>
      </c>
      <c r="I90" s="2" t="s">
        <v>26</v>
      </c>
      <c r="J90" s="2" t="s">
        <v>57</v>
      </c>
      <c r="K90" s="2" t="s">
        <v>99</v>
      </c>
      <c r="L90" s="2" t="s">
        <v>92</v>
      </c>
      <c r="M90" s="2">
        <v>3</v>
      </c>
      <c r="N90" s="3">
        <v>800000</v>
      </c>
      <c r="O90" s="3">
        <v>804734.29</v>
      </c>
      <c r="P90" s="4">
        <v>0</v>
      </c>
      <c r="Q90" s="2">
        <v>0</v>
      </c>
      <c r="R90" s="3">
        <v>2414202.87</v>
      </c>
      <c r="S90" s="3">
        <v>0</v>
      </c>
      <c r="T90" s="3">
        <v>2414202.87</v>
      </c>
      <c r="U90" t="str">
        <f t="shared" si="1"/>
        <v>Achive</v>
      </c>
    </row>
    <row r="91" spans="1:21" x14ac:dyDescent="0.3">
      <c r="A91" s="2">
        <v>800156</v>
      </c>
      <c r="B91" s="10">
        <v>45438</v>
      </c>
      <c r="C91" s="2" t="s">
        <v>69</v>
      </c>
      <c r="D91" s="2" t="s">
        <v>83</v>
      </c>
      <c r="E91" s="2" t="s">
        <v>84</v>
      </c>
      <c r="F91" s="2" t="s">
        <v>41</v>
      </c>
      <c r="G91" s="2" t="s">
        <v>116</v>
      </c>
      <c r="H91" s="2" t="s">
        <v>25</v>
      </c>
      <c r="I91" s="2" t="s">
        <v>67</v>
      </c>
      <c r="J91" s="2" t="s">
        <v>68</v>
      </c>
      <c r="K91" s="2" t="s">
        <v>117</v>
      </c>
      <c r="L91" s="2" t="s">
        <v>92</v>
      </c>
      <c r="M91" s="2">
        <v>3</v>
      </c>
      <c r="N91" s="3">
        <v>1200000</v>
      </c>
      <c r="O91" s="3">
        <v>1204351.24</v>
      </c>
      <c r="P91" s="4">
        <v>5</v>
      </c>
      <c r="Q91" s="2">
        <v>0</v>
      </c>
      <c r="R91" s="3">
        <v>3613053.72</v>
      </c>
      <c r="S91" s="3">
        <v>180652.69</v>
      </c>
      <c r="T91" s="3">
        <v>3432401.03</v>
      </c>
      <c r="U91" t="str">
        <f t="shared" si="1"/>
        <v>Achive</v>
      </c>
    </row>
    <row r="92" spans="1:21" x14ac:dyDescent="0.3">
      <c r="A92" s="2">
        <v>800318</v>
      </c>
      <c r="B92" s="10">
        <v>45439</v>
      </c>
      <c r="C92" s="2" t="s">
        <v>38</v>
      </c>
      <c r="D92" s="2" t="s">
        <v>79</v>
      </c>
      <c r="E92" s="2" t="s">
        <v>133</v>
      </c>
      <c r="F92" s="2" t="s">
        <v>32</v>
      </c>
      <c r="G92" s="2" t="s">
        <v>66</v>
      </c>
      <c r="H92" s="2" t="s">
        <v>25</v>
      </c>
      <c r="I92" s="2" t="s">
        <v>43</v>
      </c>
      <c r="J92" s="2" t="s">
        <v>101</v>
      </c>
      <c r="K92" s="2" t="s">
        <v>45</v>
      </c>
      <c r="L92" s="2" t="s">
        <v>37</v>
      </c>
      <c r="M92" s="2">
        <v>3</v>
      </c>
      <c r="N92" s="3">
        <v>1000000</v>
      </c>
      <c r="O92" s="3">
        <v>981725.26</v>
      </c>
      <c r="P92" s="4">
        <v>0</v>
      </c>
      <c r="Q92" s="2">
        <v>0</v>
      </c>
      <c r="R92" s="3">
        <v>2945175.78</v>
      </c>
      <c r="S92" s="3">
        <v>0</v>
      </c>
      <c r="T92" s="3">
        <v>2945175.78</v>
      </c>
      <c r="U92" t="str">
        <f t="shared" si="1"/>
        <v>Achive</v>
      </c>
    </row>
    <row r="93" spans="1:21" x14ac:dyDescent="0.3">
      <c r="A93" s="2">
        <v>800538</v>
      </c>
      <c r="B93" s="10">
        <v>45439</v>
      </c>
      <c r="C93" s="2" t="s">
        <v>20</v>
      </c>
      <c r="D93" s="2" t="s">
        <v>74</v>
      </c>
      <c r="E93" s="2" t="s">
        <v>75</v>
      </c>
      <c r="F93" s="2" t="s">
        <v>41</v>
      </c>
      <c r="G93" s="2" t="s">
        <v>54</v>
      </c>
      <c r="H93" s="2" t="s">
        <v>25</v>
      </c>
      <c r="I93" s="2" t="s">
        <v>43</v>
      </c>
      <c r="J93" s="2" t="s">
        <v>101</v>
      </c>
      <c r="K93" s="2" t="s">
        <v>102</v>
      </c>
      <c r="L93" s="2" t="s">
        <v>29</v>
      </c>
      <c r="M93" s="2">
        <v>5</v>
      </c>
      <c r="N93" s="3">
        <v>1000000</v>
      </c>
      <c r="O93" s="3">
        <v>1017266.11</v>
      </c>
      <c r="P93" s="4">
        <v>7.5</v>
      </c>
      <c r="Q93" s="2">
        <v>0</v>
      </c>
      <c r="R93" s="3">
        <v>5086330.55</v>
      </c>
      <c r="S93" s="3">
        <v>381474.79</v>
      </c>
      <c r="T93" s="3">
        <v>4704855.76</v>
      </c>
      <c r="U93" t="str">
        <f t="shared" si="1"/>
        <v>Achive</v>
      </c>
    </row>
    <row r="94" spans="1:21" x14ac:dyDescent="0.3">
      <c r="A94" s="2">
        <v>800012</v>
      </c>
      <c r="B94" s="10">
        <v>45440</v>
      </c>
      <c r="C94" s="2" t="s">
        <v>51</v>
      </c>
      <c r="D94" s="2" t="s">
        <v>55</v>
      </c>
      <c r="E94" s="2" t="s">
        <v>60</v>
      </c>
      <c r="F94" s="2" t="s">
        <v>46</v>
      </c>
      <c r="G94" s="2" t="s">
        <v>24</v>
      </c>
      <c r="H94" s="2" t="s">
        <v>25</v>
      </c>
      <c r="I94" s="2" t="s">
        <v>34</v>
      </c>
      <c r="J94" s="2" t="s">
        <v>35</v>
      </c>
      <c r="K94" s="2" t="s">
        <v>45</v>
      </c>
      <c r="L94" s="2" t="s">
        <v>59</v>
      </c>
      <c r="M94" s="2">
        <v>5</v>
      </c>
      <c r="N94" s="3">
        <v>550000</v>
      </c>
      <c r="O94" s="3">
        <v>558758.56999999995</v>
      </c>
      <c r="P94" s="4">
        <v>7.5</v>
      </c>
      <c r="Q94" s="2">
        <v>0</v>
      </c>
      <c r="R94" s="3">
        <v>2793792.85</v>
      </c>
      <c r="S94" s="3">
        <v>209534.46</v>
      </c>
      <c r="T94" s="3">
        <v>2584258.39</v>
      </c>
      <c r="U94" t="str">
        <f t="shared" si="1"/>
        <v>Achive</v>
      </c>
    </row>
    <row r="95" spans="1:21" x14ac:dyDescent="0.3">
      <c r="A95" s="2">
        <v>800184</v>
      </c>
      <c r="B95" s="10">
        <v>45440</v>
      </c>
      <c r="C95" s="2" t="s">
        <v>38</v>
      </c>
      <c r="D95" s="2" t="s">
        <v>63</v>
      </c>
      <c r="E95" s="2" t="s">
        <v>64</v>
      </c>
      <c r="F95" s="2" t="s">
        <v>32</v>
      </c>
      <c r="G95" s="2" t="s">
        <v>72</v>
      </c>
      <c r="H95" s="2" t="s">
        <v>25</v>
      </c>
      <c r="I95" s="2" t="s">
        <v>43</v>
      </c>
      <c r="J95" s="2" t="s">
        <v>44</v>
      </c>
      <c r="K95" s="2" t="s">
        <v>45</v>
      </c>
      <c r="L95" s="2" t="s">
        <v>122</v>
      </c>
      <c r="M95" s="2">
        <v>4</v>
      </c>
      <c r="N95" s="3">
        <v>800000</v>
      </c>
      <c r="O95" s="3">
        <v>789846.39</v>
      </c>
      <c r="P95" s="4">
        <v>5</v>
      </c>
      <c r="Q95" s="2">
        <v>0</v>
      </c>
      <c r="R95" s="3">
        <v>3159385.56</v>
      </c>
      <c r="S95" s="3">
        <v>157969.28</v>
      </c>
      <c r="T95" s="3">
        <v>3001416.28</v>
      </c>
      <c r="U95" t="str">
        <f t="shared" si="1"/>
        <v>Achive</v>
      </c>
    </row>
    <row r="96" spans="1:21" x14ac:dyDescent="0.3">
      <c r="A96" s="2">
        <v>800228</v>
      </c>
      <c r="B96" s="10">
        <v>45440</v>
      </c>
      <c r="C96" s="2" t="s">
        <v>38</v>
      </c>
      <c r="D96" s="2" t="s">
        <v>39</v>
      </c>
      <c r="E96" s="2" t="s">
        <v>40</v>
      </c>
      <c r="F96" s="2" t="s">
        <v>46</v>
      </c>
      <c r="G96" s="2" t="s">
        <v>94</v>
      </c>
      <c r="H96" s="2" t="s">
        <v>25</v>
      </c>
      <c r="I96" s="2" t="s">
        <v>67</v>
      </c>
      <c r="J96" s="2" t="s">
        <v>68</v>
      </c>
      <c r="K96" s="2" t="s">
        <v>49</v>
      </c>
      <c r="L96" s="2" t="s">
        <v>37</v>
      </c>
      <c r="M96" s="2">
        <v>3</v>
      </c>
      <c r="N96" s="3">
        <v>1200000</v>
      </c>
      <c r="O96" s="3">
        <v>1208551.1000000001</v>
      </c>
      <c r="P96" s="4">
        <v>12.5</v>
      </c>
      <c r="Q96" s="2">
        <v>0</v>
      </c>
      <c r="R96" s="3">
        <v>3625653.3</v>
      </c>
      <c r="S96" s="3">
        <v>453206.66</v>
      </c>
      <c r="T96" s="3">
        <v>3172446.64</v>
      </c>
      <c r="U96" t="str">
        <f t="shared" si="1"/>
        <v>Achive</v>
      </c>
    </row>
    <row r="97" spans="1:21" x14ac:dyDescent="0.3">
      <c r="A97" s="2">
        <v>800244</v>
      </c>
      <c r="B97" s="10">
        <v>45440</v>
      </c>
      <c r="C97" s="2" t="s">
        <v>51</v>
      </c>
      <c r="D97" s="2" t="s">
        <v>55</v>
      </c>
      <c r="E97" s="2" t="s">
        <v>60</v>
      </c>
      <c r="F97" s="2" t="s">
        <v>32</v>
      </c>
      <c r="G97" s="2" t="s">
        <v>54</v>
      </c>
      <c r="H97" s="2" t="s">
        <v>25</v>
      </c>
      <c r="I97" s="2" t="s">
        <v>67</v>
      </c>
      <c r="J97" s="2" t="s">
        <v>108</v>
      </c>
      <c r="K97" s="2" t="s">
        <v>89</v>
      </c>
      <c r="L97" s="2" t="s">
        <v>87</v>
      </c>
      <c r="M97" s="2">
        <v>2</v>
      </c>
      <c r="N97" s="3">
        <v>1800000</v>
      </c>
      <c r="O97" s="3">
        <v>1804155.28</v>
      </c>
      <c r="P97" s="4">
        <v>2</v>
      </c>
      <c r="Q97" s="2">
        <v>0</v>
      </c>
      <c r="R97" s="3">
        <v>3608310.56</v>
      </c>
      <c r="S97" s="3">
        <v>72166.210000000006</v>
      </c>
      <c r="T97" s="3">
        <v>3536144.35</v>
      </c>
      <c r="U97" t="str">
        <f t="shared" si="1"/>
        <v>Achive</v>
      </c>
    </row>
    <row r="98" spans="1:21" x14ac:dyDescent="0.3">
      <c r="A98" s="2">
        <v>800345</v>
      </c>
      <c r="B98" s="10">
        <v>45441</v>
      </c>
      <c r="C98" s="2" t="s">
        <v>51</v>
      </c>
      <c r="D98" s="2" t="s">
        <v>106</v>
      </c>
      <c r="E98" s="2" t="s">
        <v>107</v>
      </c>
      <c r="F98" s="2" t="s">
        <v>23</v>
      </c>
      <c r="G98" s="2" t="s">
        <v>90</v>
      </c>
      <c r="H98" s="2" t="s">
        <v>25</v>
      </c>
      <c r="I98" s="2" t="s">
        <v>43</v>
      </c>
      <c r="J98" s="2" t="s">
        <v>101</v>
      </c>
      <c r="K98" s="2" t="s">
        <v>45</v>
      </c>
      <c r="L98" s="2" t="s">
        <v>29</v>
      </c>
      <c r="M98" s="2">
        <v>6</v>
      </c>
      <c r="N98" s="3">
        <v>1000000</v>
      </c>
      <c r="O98" s="3">
        <v>1014283.01</v>
      </c>
      <c r="P98" s="4">
        <v>10</v>
      </c>
      <c r="Q98" s="2">
        <v>0</v>
      </c>
      <c r="R98" s="3">
        <v>6085698.0599999996</v>
      </c>
      <c r="S98" s="3">
        <v>608569.81000000006</v>
      </c>
      <c r="T98" s="3">
        <v>5477128.25</v>
      </c>
      <c r="U98" t="str">
        <f t="shared" si="1"/>
        <v>Achive</v>
      </c>
    </row>
    <row r="99" spans="1:21" x14ac:dyDescent="0.3">
      <c r="A99" s="2">
        <v>800640</v>
      </c>
      <c r="B99" s="10">
        <v>45441</v>
      </c>
      <c r="C99" s="2" t="s">
        <v>51</v>
      </c>
      <c r="D99" s="2" t="s">
        <v>106</v>
      </c>
      <c r="E99" s="2" t="s">
        <v>107</v>
      </c>
      <c r="F99" s="2" t="s">
        <v>65</v>
      </c>
      <c r="G99" s="2" t="s">
        <v>24</v>
      </c>
      <c r="H99" s="2" t="s">
        <v>25</v>
      </c>
      <c r="I99" s="2" t="s">
        <v>26</v>
      </c>
      <c r="J99" s="2" t="s">
        <v>81</v>
      </c>
      <c r="K99" s="2" t="s">
        <v>49</v>
      </c>
      <c r="L99" s="2" t="s">
        <v>73</v>
      </c>
      <c r="M99" s="2">
        <v>3</v>
      </c>
      <c r="N99" s="3">
        <v>1700000</v>
      </c>
      <c r="O99" s="3">
        <v>1651717.45</v>
      </c>
      <c r="P99" s="4">
        <v>0</v>
      </c>
      <c r="Q99" s="2">
        <v>0</v>
      </c>
      <c r="R99" s="3">
        <v>4955152.3499999996</v>
      </c>
      <c r="S99" s="3">
        <v>0</v>
      </c>
      <c r="T99" s="3">
        <v>4955152.3499999996</v>
      </c>
      <c r="U99" t="str">
        <f t="shared" si="1"/>
        <v>Achive</v>
      </c>
    </row>
    <row r="100" spans="1:21" x14ac:dyDescent="0.3">
      <c r="A100" s="2">
        <v>800320</v>
      </c>
      <c r="B100" s="10">
        <v>45442</v>
      </c>
      <c r="C100" s="2" t="s">
        <v>38</v>
      </c>
      <c r="D100" s="2" t="s">
        <v>63</v>
      </c>
      <c r="E100" s="2" t="s">
        <v>114</v>
      </c>
      <c r="F100" s="2" t="s">
        <v>41</v>
      </c>
      <c r="G100" s="2" t="s">
        <v>100</v>
      </c>
      <c r="H100" s="2" t="s">
        <v>25</v>
      </c>
      <c r="I100" s="2" t="s">
        <v>43</v>
      </c>
      <c r="J100" s="2" t="s">
        <v>44</v>
      </c>
      <c r="K100" s="2" t="s">
        <v>45</v>
      </c>
      <c r="L100" s="2" t="s">
        <v>78</v>
      </c>
      <c r="M100" s="2">
        <v>3</v>
      </c>
      <c r="N100" s="3">
        <v>800000</v>
      </c>
      <c r="O100" s="3">
        <v>808063.84</v>
      </c>
      <c r="P100" s="4">
        <v>7.5</v>
      </c>
      <c r="Q100" s="2">
        <v>0</v>
      </c>
      <c r="R100" s="3">
        <v>2424191.52</v>
      </c>
      <c r="S100" s="3">
        <v>181814.36</v>
      </c>
      <c r="T100" s="3">
        <v>2242377.16</v>
      </c>
      <c r="U100" t="str">
        <f t="shared" si="1"/>
        <v>Achive</v>
      </c>
    </row>
    <row r="101" spans="1:21" x14ac:dyDescent="0.3">
      <c r="A101" s="2">
        <v>800572</v>
      </c>
      <c r="B101" s="10">
        <v>45442</v>
      </c>
      <c r="C101" s="2" t="s">
        <v>51</v>
      </c>
      <c r="D101" s="2" t="s">
        <v>110</v>
      </c>
      <c r="E101" s="2" t="s">
        <v>134</v>
      </c>
      <c r="F101" s="2" t="s">
        <v>32</v>
      </c>
      <c r="G101" s="2" t="s">
        <v>100</v>
      </c>
      <c r="H101" s="2" t="s">
        <v>25</v>
      </c>
      <c r="I101" s="2" t="s">
        <v>26</v>
      </c>
      <c r="J101" s="2" t="s">
        <v>48</v>
      </c>
      <c r="K101" s="2" t="s">
        <v>89</v>
      </c>
      <c r="L101" s="2" t="s">
        <v>78</v>
      </c>
      <c r="M101" s="2">
        <v>3</v>
      </c>
      <c r="N101" s="3">
        <v>1200000</v>
      </c>
      <c r="O101" s="3">
        <v>1207328.19</v>
      </c>
      <c r="P101" s="4">
        <v>0</v>
      </c>
      <c r="Q101" s="2">
        <v>0</v>
      </c>
      <c r="R101" s="3">
        <v>3621984.57</v>
      </c>
      <c r="S101" s="3">
        <v>0</v>
      </c>
      <c r="T101" s="3">
        <v>3621984.57</v>
      </c>
      <c r="U101" t="str">
        <f t="shared" si="1"/>
        <v>Achive</v>
      </c>
    </row>
    <row r="102" spans="1:21" x14ac:dyDescent="0.3">
      <c r="A102" s="2">
        <v>800110</v>
      </c>
      <c r="B102" s="10">
        <v>45444</v>
      </c>
      <c r="C102" s="2" t="s">
        <v>51</v>
      </c>
      <c r="D102" s="2" t="s">
        <v>52</v>
      </c>
      <c r="E102" s="2" t="s">
        <v>132</v>
      </c>
      <c r="F102" s="2" t="s">
        <v>32</v>
      </c>
      <c r="G102" s="2" t="s">
        <v>116</v>
      </c>
      <c r="H102" s="2" t="s">
        <v>25</v>
      </c>
      <c r="I102" s="2" t="s">
        <v>26</v>
      </c>
      <c r="J102" s="2" t="s">
        <v>127</v>
      </c>
      <c r="K102" s="2" t="s">
        <v>58</v>
      </c>
      <c r="L102" s="2" t="s">
        <v>78</v>
      </c>
      <c r="M102" s="2">
        <v>1</v>
      </c>
      <c r="N102" s="3">
        <v>650000</v>
      </c>
      <c r="O102" s="3">
        <v>655438.86</v>
      </c>
      <c r="P102" s="4">
        <v>5</v>
      </c>
      <c r="Q102" s="2">
        <v>0</v>
      </c>
      <c r="R102" s="3">
        <v>655438.86</v>
      </c>
      <c r="S102" s="3">
        <v>32771.94</v>
      </c>
      <c r="T102" s="3">
        <v>622666.92000000004</v>
      </c>
      <c r="U102" t="str">
        <f t="shared" si="1"/>
        <v>Not achive</v>
      </c>
    </row>
    <row r="103" spans="1:21" x14ac:dyDescent="0.3">
      <c r="A103" s="2">
        <v>800095</v>
      </c>
      <c r="B103" s="10">
        <v>45447</v>
      </c>
      <c r="C103" s="2" t="s">
        <v>69</v>
      </c>
      <c r="D103" s="2" t="s">
        <v>95</v>
      </c>
      <c r="E103" s="2" t="s">
        <v>135</v>
      </c>
      <c r="F103" s="2" t="s">
        <v>41</v>
      </c>
      <c r="G103" s="2" t="s">
        <v>42</v>
      </c>
      <c r="H103" s="2" t="s">
        <v>25</v>
      </c>
      <c r="I103" s="2" t="s">
        <v>26</v>
      </c>
      <c r="J103" s="2" t="s">
        <v>76</v>
      </c>
      <c r="K103" s="2" t="s">
        <v>115</v>
      </c>
      <c r="L103" s="2" t="s">
        <v>92</v>
      </c>
      <c r="M103" s="2">
        <v>1</v>
      </c>
      <c r="N103" s="3">
        <v>700000</v>
      </c>
      <c r="O103" s="3">
        <v>680770.25</v>
      </c>
      <c r="P103" s="4">
        <v>7.5</v>
      </c>
      <c r="Q103" s="2">
        <v>0</v>
      </c>
      <c r="R103" s="3">
        <v>680770.25</v>
      </c>
      <c r="S103" s="3">
        <v>51057.77</v>
      </c>
      <c r="T103" s="3">
        <v>629712.48</v>
      </c>
      <c r="U103" t="str">
        <f t="shared" si="1"/>
        <v>Not achive</v>
      </c>
    </row>
    <row r="104" spans="1:21" x14ac:dyDescent="0.3">
      <c r="A104" s="2">
        <v>800232</v>
      </c>
      <c r="B104" s="10">
        <v>45447</v>
      </c>
      <c r="C104" s="2" t="s">
        <v>38</v>
      </c>
      <c r="D104" s="2" t="s">
        <v>118</v>
      </c>
      <c r="E104" s="2" t="s">
        <v>125</v>
      </c>
      <c r="F104" s="2" t="s">
        <v>32</v>
      </c>
      <c r="G104" s="2" t="s">
        <v>47</v>
      </c>
      <c r="H104" s="2" t="s">
        <v>25</v>
      </c>
      <c r="I104" s="2" t="s">
        <v>43</v>
      </c>
      <c r="J104" s="2" t="s">
        <v>44</v>
      </c>
      <c r="K104" s="2" t="s">
        <v>45</v>
      </c>
      <c r="L104" s="2" t="s">
        <v>73</v>
      </c>
      <c r="M104" s="2">
        <v>4</v>
      </c>
      <c r="N104" s="3">
        <v>800000</v>
      </c>
      <c r="O104" s="3">
        <v>812750.75</v>
      </c>
      <c r="P104" s="4">
        <v>5</v>
      </c>
      <c r="Q104" s="2">
        <v>0</v>
      </c>
      <c r="R104" s="3">
        <v>3251003</v>
      </c>
      <c r="S104" s="3">
        <v>162550.15</v>
      </c>
      <c r="T104" s="3">
        <v>3088452.85</v>
      </c>
      <c r="U104" t="str">
        <f t="shared" si="1"/>
        <v>Achive</v>
      </c>
    </row>
    <row r="105" spans="1:21" x14ac:dyDescent="0.3">
      <c r="A105" s="2">
        <v>800402</v>
      </c>
      <c r="B105" s="10">
        <v>45447</v>
      </c>
      <c r="C105" s="2" t="s">
        <v>51</v>
      </c>
      <c r="D105" s="2" t="s">
        <v>106</v>
      </c>
      <c r="E105" s="2" t="s">
        <v>107</v>
      </c>
      <c r="F105" s="2" t="s">
        <v>32</v>
      </c>
      <c r="G105" s="2" t="s">
        <v>100</v>
      </c>
      <c r="H105" s="2" t="s">
        <v>25</v>
      </c>
      <c r="I105" s="2" t="s">
        <v>26</v>
      </c>
      <c r="J105" s="2" t="s">
        <v>27</v>
      </c>
      <c r="K105" s="2" t="s">
        <v>99</v>
      </c>
      <c r="L105" s="2" t="s">
        <v>87</v>
      </c>
      <c r="M105" s="2">
        <v>2</v>
      </c>
      <c r="N105" s="3">
        <v>750000</v>
      </c>
      <c r="O105" s="3">
        <v>736100.85</v>
      </c>
      <c r="P105" s="4">
        <v>5</v>
      </c>
      <c r="Q105" s="2">
        <v>0</v>
      </c>
      <c r="R105" s="3">
        <v>1472201.7</v>
      </c>
      <c r="S105" s="3">
        <v>73610.09</v>
      </c>
      <c r="T105" s="3">
        <v>1398591.61</v>
      </c>
      <c r="U105" t="str">
        <f t="shared" si="1"/>
        <v>Not achive</v>
      </c>
    </row>
    <row r="106" spans="1:21" x14ac:dyDescent="0.3">
      <c r="A106" s="2">
        <v>800147</v>
      </c>
      <c r="B106" s="10">
        <v>45449</v>
      </c>
      <c r="C106" s="2" t="s">
        <v>69</v>
      </c>
      <c r="D106" s="2" t="s">
        <v>70</v>
      </c>
      <c r="E106" s="2" t="s">
        <v>136</v>
      </c>
      <c r="F106" s="2" t="s">
        <v>41</v>
      </c>
      <c r="G106" s="2" t="s">
        <v>66</v>
      </c>
      <c r="H106" s="2" t="s">
        <v>25</v>
      </c>
      <c r="I106" s="2" t="s">
        <v>26</v>
      </c>
      <c r="J106" s="2" t="s">
        <v>48</v>
      </c>
      <c r="K106" s="2" t="s">
        <v>62</v>
      </c>
      <c r="L106" s="2" t="s">
        <v>59</v>
      </c>
      <c r="M106" s="2">
        <v>2</v>
      </c>
      <c r="N106" s="3">
        <v>1200000</v>
      </c>
      <c r="O106" s="3">
        <v>1171700.08</v>
      </c>
      <c r="P106" s="4">
        <v>0</v>
      </c>
      <c r="Q106" s="2">
        <v>0</v>
      </c>
      <c r="R106" s="3">
        <v>2343400.16</v>
      </c>
      <c r="S106" s="3">
        <v>0</v>
      </c>
      <c r="T106" s="3">
        <v>2343400.16</v>
      </c>
      <c r="U106" t="str">
        <f t="shared" si="1"/>
        <v>Achive</v>
      </c>
    </row>
    <row r="107" spans="1:21" x14ac:dyDescent="0.3">
      <c r="A107" s="2">
        <v>800372</v>
      </c>
      <c r="B107" s="10">
        <v>45449</v>
      </c>
      <c r="C107" s="2" t="s">
        <v>20</v>
      </c>
      <c r="D107" s="2" t="s">
        <v>21</v>
      </c>
      <c r="E107" s="2" t="s">
        <v>98</v>
      </c>
      <c r="F107" s="2" t="s">
        <v>46</v>
      </c>
      <c r="G107" s="2" t="s">
        <v>66</v>
      </c>
      <c r="H107" s="2" t="s">
        <v>25</v>
      </c>
      <c r="I107" s="2" t="s">
        <v>43</v>
      </c>
      <c r="J107" s="2" t="s">
        <v>101</v>
      </c>
      <c r="K107" s="2" t="s">
        <v>45</v>
      </c>
      <c r="L107" s="2" t="s">
        <v>59</v>
      </c>
      <c r="M107" s="2">
        <v>5</v>
      </c>
      <c r="N107" s="3">
        <v>1000000</v>
      </c>
      <c r="O107" s="3">
        <v>1007619.16</v>
      </c>
      <c r="P107" s="4">
        <v>0</v>
      </c>
      <c r="Q107" s="2">
        <v>0</v>
      </c>
      <c r="R107" s="3">
        <v>5038095.8</v>
      </c>
      <c r="S107" s="3">
        <v>0</v>
      </c>
      <c r="T107" s="3">
        <v>5038095.8</v>
      </c>
      <c r="U107" t="str">
        <f t="shared" si="1"/>
        <v>Achive</v>
      </c>
    </row>
    <row r="108" spans="1:21" x14ac:dyDescent="0.3">
      <c r="A108" s="2">
        <v>800535</v>
      </c>
      <c r="B108" s="10">
        <v>45450</v>
      </c>
      <c r="C108" s="2" t="s">
        <v>20</v>
      </c>
      <c r="D108" s="2" t="s">
        <v>30</v>
      </c>
      <c r="E108" s="2" t="s">
        <v>31</v>
      </c>
      <c r="F108" s="2" t="s">
        <v>23</v>
      </c>
      <c r="G108" s="2" t="s">
        <v>66</v>
      </c>
      <c r="H108" s="2" t="s">
        <v>25</v>
      </c>
      <c r="I108" s="2" t="s">
        <v>26</v>
      </c>
      <c r="J108" s="2" t="s">
        <v>76</v>
      </c>
      <c r="K108" s="2" t="s">
        <v>77</v>
      </c>
      <c r="L108" s="2" t="s">
        <v>59</v>
      </c>
      <c r="M108" s="2">
        <v>1</v>
      </c>
      <c r="N108" s="3">
        <v>700000</v>
      </c>
      <c r="O108" s="3">
        <v>703260.59</v>
      </c>
      <c r="P108" s="4">
        <v>10</v>
      </c>
      <c r="Q108" s="2">
        <v>0</v>
      </c>
      <c r="R108" s="3">
        <v>703260.59</v>
      </c>
      <c r="S108" s="3">
        <v>70326.06</v>
      </c>
      <c r="T108" s="3">
        <v>632934.53</v>
      </c>
      <c r="U108" t="str">
        <f t="shared" si="1"/>
        <v>Not achive</v>
      </c>
    </row>
    <row r="109" spans="1:21" x14ac:dyDescent="0.3">
      <c r="A109" s="2">
        <v>800312</v>
      </c>
      <c r="B109" s="10">
        <v>45451</v>
      </c>
      <c r="C109" s="2" t="s">
        <v>38</v>
      </c>
      <c r="D109" s="2" t="s">
        <v>79</v>
      </c>
      <c r="E109" s="2" t="s">
        <v>133</v>
      </c>
      <c r="F109" s="2" t="s">
        <v>41</v>
      </c>
      <c r="G109" s="2" t="s">
        <v>47</v>
      </c>
      <c r="H109" s="2" t="s">
        <v>25</v>
      </c>
      <c r="I109" s="2" t="s">
        <v>67</v>
      </c>
      <c r="J109" s="2" t="s">
        <v>68</v>
      </c>
      <c r="K109" s="2" t="s">
        <v>117</v>
      </c>
      <c r="L109" s="2" t="s">
        <v>59</v>
      </c>
      <c r="M109" s="2">
        <v>3</v>
      </c>
      <c r="N109" s="3">
        <v>1200000</v>
      </c>
      <c r="O109" s="3">
        <v>1195447.06</v>
      </c>
      <c r="P109" s="4">
        <v>10</v>
      </c>
      <c r="Q109" s="2">
        <v>0</v>
      </c>
      <c r="R109" s="3">
        <v>3586341.18</v>
      </c>
      <c r="S109" s="3">
        <v>358634.12</v>
      </c>
      <c r="T109" s="3">
        <v>3227707.06</v>
      </c>
      <c r="U109" t="str">
        <f t="shared" si="1"/>
        <v>Achive</v>
      </c>
    </row>
    <row r="110" spans="1:21" x14ac:dyDescent="0.3">
      <c r="A110" s="2">
        <v>800334</v>
      </c>
      <c r="B110" s="10">
        <v>45451</v>
      </c>
      <c r="C110" s="2" t="s">
        <v>38</v>
      </c>
      <c r="D110" s="2" t="s">
        <v>63</v>
      </c>
      <c r="E110" s="2" t="s">
        <v>64</v>
      </c>
      <c r="F110" s="2" t="s">
        <v>32</v>
      </c>
      <c r="G110" s="2" t="s">
        <v>33</v>
      </c>
      <c r="H110" s="2" t="s">
        <v>25</v>
      </c>
      <c r="I110" s="2" t="s">
        <v>34</v>
      </c>
      <c r="J110" s="2" t="s">
        <v>35</v>
      </c>
      <c r="K110" s="2" t="s">
        <v>45</v>
      </c>
      <c r="L110" s="2" t="s">
        <v>78</v>
      </c>
      <c r="M110" s="2">
        <v>4</v>
      </c>
      <c r="N110" s="3">
        <v>550000</v>
      </c>
      <c r="O110" s="3">
        <v>559998.81999999995</v>
      </c>
      <c r="P110" s="4">
        <v>5</v>
      </c>
      <c r="Q110" s="2">
        <v>0</v>
      </c>
      <c r="R110" s="3">
        <v>2239995.2799999998</v>
      </c>
      <c r="S110" s="3">
        <v>111999.76</v>
      </c>
      <c r="T110" s="3">
        <v>2127995.52</v>
      </c>
      <c r="U110" t="str">
        <f t="shared" si="1"/>
        <v>Achive</v>
      </c>
    </row>
    <row r="111" spans="1:21" x14ac:dyDescent="0.3">
      <c r="A111" s="2">
        <v>800394</v>
      </c>
      <c r="B111" s="10">
        <v>45451</v>
      </c>
      <c r="C111" s="2" t="s">
        <v>69</v>
      </c>
      <c r="D111" s="2" t="s">
        <v>83</v>
      </c>
      <c r="E111" s="2" t="s">
        <v>84</v>
      </c>
      <c r="F111" s="2" t="s">
        <v>23</v>
      </c>
      <c r="G111" s="2" t="s">
        <v>90</v>
      </c>
      <c r="H111" s="2" t="s">
        <v>25</v>
      </c>
      <c r="I111" s="2" t="s">
        <v>26</v>
      </c>
      <c r="J111" s="2" t="s">
        <v>57</v>
      </c>
      <c r="K111" s="2" t="s">
        <v>99</v>
      </c>
      <c r="L111" s="2" t="s">
        <v>73</v>
      </c>
      <c r="M111" s="2">
        <v>2</v>
      </c>
      <c r="N111" s="3">
        <v>800000</v>
      </c>
      <c r="O111" s="3">
        <v>808226.73</v>
      </c>
      <c r="P111" s="4">
        <v>0</v>
      </c>
      <c r="Q111" s="2">
        <v>0</v>
      </c>
      <c r="R111" s="3">
        <v>1616453.46</v>
      </c>
      <c r="S111" s="3">
        <v>0</v>
      </c>
      <c r="T111" s="3">
        <v>1616453.46</v>
      </c>
      <c r="U111" t="str">
        <f t="shared" si="1"/>
        <v>Not achive</v>
      </c>
    </row>
    <row r="112" spans="1:21" x14ac:dyDescent="0.3">
      <c r="A112" s="2">
        <v>800463</v>
      </c>
      <c r="B112" s="10">
        <v>45451</v>
      </c>
      <c r="C112" s="2" t="s">
        <v>38</v>
      </c>
      <c r="D112" s="2" t="s">
        <v>39</v>
      </c>
      <c r="E112" s="2" t="s">
        <v>126</v>
      </c>
      <c r="F112" s="2" t="s">
        <v>65</v>
      </c>
      <c r="G112" s="2" t="s">
        <v>24</v>
      </c>
      <c r="H112" s="2" t="s">
        <v>25</v>
      </c>
      <c r="I112" s="2" t="s">
        <v>26</v>
      </c>
      <c r="J112" s="2" t="s">
        <v>105</v>
      </c>
      <c r="K112" s="2" t="s">
        <v>89</v>
      </c>
      <c r="L112" s="2" t="s">
        <v>50</v>
      </c>
      <c r="M112" s="2">
        <v>2</v>
      </c>
      <c r="N112" s="3">
        <v>950000</v>
      </c>
      <c r="O112" s="3">
        <v>961557.21</v>
      </c>
      <c r="P112" s="4">
        <v>0</v>
      </c>
      <c r="Q112" s="2">
        <v>0</v>
      </c>
      <c r="R112" s="3">
        <v>1923114.42</v>
      </c>
      <c r="S112" s="3">
        <v>0</v>
      </c>
      <c r="T112" s="3">
        <v>1923114.42</v>
      </c>
      <c r="U112" t="str">
        <f t="shared" si="1"/>
        <v>Not achive</v>
      </c>
    </row>
    <row r="113" spans="1:21" x14ac:dyDescent="0.3">
      <c r="A113" s="2">
        <v>800403</v>
      </c>
      <c r="B113" s="10">
        <v>45452</v>
      </c>
      <c r="C113" s="2" t="s">
        <v>69</v>
      </c>
      <c r="D113" s="2" t="s">
        <v>83</v>
      </c>
      <c r="E113" s="2" t="s">
        <v>97</v>
      </c>
      <c r="F113" s="2" t="s">
        <v>41</v>
      </c>
      <c r="G113" s="2" t="s">
        <v>116</v>
      </c>
      <c r="H113" s="2" t="s">
        <v>25</v>
      </c>
      <c r="I113" s="2" t="s">
        <v>26</v>
      </c>
      <c r="J113" s="2" t="s">
        <v>81</v>
      </c>
      <c r="K113" s="2" t="s">
        <v>77</v>
      </c>
      <c r="L113" s="2" t="s">
        <v>123</v>
      </c>
      <c r="M113" s="2">
        <v>2</v>
      </c>
      <c r="N113" s="3">
        <v>1700000</v>
      </c>
      <c r="O113" s="3">
        <v>1688711.45</v>
      </c>
      <c r="P113" s="4">
        <v>5</v>
      </c>
      <c r="Q113" s="2">
        <v>0</v>
      </c>
      <c r="R113" s="3">
        <v>3377422.9</v>
      </c>
      <c r="S113" s="3">
        <v>168871.14</v>
      </c>
      <c r="T113" s="3">
        <v>3208551.76</v>
      </c>
      <c r="U113" t="str">
        <f t="shared" si="1"/>
        <v>Achive</v>
      </c>
    </row>
    <row r="114" spans="1:21" x14ac:dyDescent="0.3">
      <c r="A114" s="2">
        <v>800491</v>
      </c>
      <c r="B114" s="10">
        <v>45452</v>
      </c>
      <c r="C114" s="2" t="s">
        <v>20</v>
      </c>
      <c r="D114" s="2" t="s">
        <v>21</v>
      </c>
      <c r="E114" s="2" t="s">
        <v>22</v>
      </c>
      <c r="F114" s="2" t="s">
        <v>46</v>
      </c>
      <c r="G114" s="2" t="s">
        <v>100</v>
      </c>
      <c r="H114" s="2" t="s">
        <v>25</v>
      </c>
      <c r="I114" s="2" t="s">
        <v>26</v>
      </c>
      <c r="J114" s="2" t="s">
        <v>127</v>
      </c>
      <c r="K114" s="2" t="s">
        <v>58</v>
      </c>
      <c r="L114" s="2" t="s">
        <v>29</v>
      </c>
      <c r="M114" s="2">
        <v>1</v>
      </c>
      <c r="N114" s="3">
        <v>650000</v>
      </c>
      <c r="O114" s="3">
        <v>653943.53</v>
      </c>
      <c r="P114" s="4">
        <v>12.5</v>
      </c>
      <c r="Q114" s="2">
        <v>0</v>
      </c>
      <c r="R114" s="3">
        <v>653943.53</v>
      </c>
      <c r="S114" s="3">
        <v>81742.94</v>
      </c>
      <c r="T114" s="3">
        <v>572200.59</v>
      </c>
      <c r="U114" t="str">
        <f t="shared" si="1"/>
        <v>Not achive</v>
      </c>
    </row>
    <row r="115" spans="1:21" x14ac:dyDescent="0.3">
      <c r="A115" s="2">
        <v>800129</v>
      </c>
      <c r="B115" s="10">
        <v>45454</v>
      </c>
      <c r="C115" s="2" t="s">
        <v>38</v>
      </c>
      <c r="D115" s="2" t="s">
        <v>79</v>
      </c>
      <c r="E115" s="2" t="s">
        <v>133</v>
      </c>
      <c r="F115" s="2" t="s">
        <v>65</v>
      </c>
      <c r="G115" s="2" t="s">
        <v>61</v>
      </c>
      <c r="H115" s="2" t="s">
        <v>25</v>
      </c>
      <c r="I115" s="2" t="s">
        <v>43</v>
      </c>
      <c r="J115" s="2" t="s">
        <v>44</v>
      </c>
      <c r="K115" s="2" t="s">
        <v>129</v>
      </c>
      <c r="L115" s="2" t="s">
        <v>73</v>
      </c>
      <c r="M115" s="2">
        <v>2</v>
      </c>
      <c r="N115" s="3">
        <v>800000</v>
      </c>
      <c r="O115" s="3">
        <v>777532.13</v>
      </c>
      <c r="P115" s="4">
        <v>12.5</v>
      </c>
      <c r="Q115" s="2">
        <v>0</v>
      </c>
      <c r="R115" s="3">
        <v>1555064.26</v>
      </c>
      <c r="S115" s="3">
        <v>194383.03</v>
      </c>
      <c r="T115" s="3">
        <v>1360681.23</v>
      </c>
      <c r="U115" t="str">
        <f t="shared" si="1"/>
        <v>Not achive</v>
      </c>
    </row>
    <row r="116" spans="1:21" x14ac:dyDescent="0.3">
      <c r="A116" s="2">
        <v>800214</v>
      </c>
      <c r="B116" s="10">
        <v>45454</v>
      </c>
      <c r="C116" s="2" t="s">
        <v>69</v>
      </c>
      <c r="D116" s="2" t="s">
        <v>83</v>
      </c>
      <c r="E116" s="2" t="s">
        <v>97</v>
      </c>
      <c r="F116" s="2" t="s">
        <v>23</v>
      </c>
      <c r="G116" s="2" t="s">
        <v>33</v>
      </c>
      <c r="H116" s="2" t="s">
        <v>25</v>
      </c>
      <c r="I116" s="2" t="s">
        <v>26</v>
      </c>
      <c r="J116" s="2" t="s">
        <v>76</v>
      </c>
      <c r="K116" s="2" t="s">
        <v>117</v>
      </c>
      <c r="L116" s="2" t="s">
        <v>78</v>
      </c>
      <c r="M116" s="2">
        <v>3</v>
      </c>
      <c r="N116" s="3">
        <v>700000</v>
      </c>
      <c r="O116" s="3">
        <v>681420.55</v>
      </c>
      <c r="P116" s="4">
        <v>10</v>
      </c>
      <c r="Q116" s="2">
        <v>0</v>
      </c>
      <c r="R116" s="3">
        <v>2044261.65</v>
      </c>
      <c r="S116" s="3">
        <v>204426.17</v>
      </c>
      <c r="T116" s="3">
        <v>1839835.48</v>
      </c>
      <c r="U116" t="str">
        <f t="shared" si="1"/>
        <v>Not achive</v>
      </c>
    </row>
    <row r="117" spans="1:21" x14ac:dyDescent="0.3">
      <c r="A117" s="2">
        <v>800263</v>
      </c>
      <c r="B117" s="10">
        <v>45454</v>
      </c>
      <c r="C117" s="2" t="s">
        <v>38</v>
      </c>
      <c r="D117" s="2" t="s">
        <v>118</v>
      </c>
      <c r="E117" s="2" t="s">
        <v>119</v>
      </c>
      <c r="F117" s="2" t="s">
        <v>41</v>
      </c>
      <c r="G117" s="2" t="s">
        <v>72</v>
      </c>
      <c r="H117" s="2" t="s">
        <v>25</v>
      </c>
      <c r="I117" s="2" t="s">
        <v>43</v>
      </c>
      <c r="J117" s="2" t="s">
        <v>44</v>
      </c>
      <c r="K117" s="2" t="s">
        <v>129</v>
      </c>
      <c r="L117" s="2" t="s">
        <v>59</v>
      </c>
      <c r="M117" s="2">
        <v>6</v>
      </c>
      <c r="N117" s="3">
        <v>800000</v>
      </c>
      <c r="O117" s="3">
        <v>798004.84</v>
      </c>
      <c r="P117" s="4">
        <v>0</v>
      </c>
      <c r="Q117" s="2">
        <v>0</v>
      </c>
      <c r="R117" s="3">
        <v>4788029.04</v>
      </c>
      <c r="S117" s="3">
        <v>0</v>
      </c>
      <c r="T117" s="3">
        <v>4788029.04</v>
      </c>
      <c r="U117" t="str">
        <f t="shared" si="1"/>
        <v>Achive</v>
      </c>
    </row>
    <row r="118" spans="1:21" x14ac:dyDescent="0.3">
      <c r="A118" s="2">
        <v>800486</v>
      </c>
      <c r="B118" s="10">
        <v>45454</v>
      </c>
      <c r="C118" s="2" t="s">
        <v>69</v>
      </c>
      <c r="D118" s="2" t="s">
        <v>70</v>
      </c>
      <c r="E118" s="2" t="s">
        <v>93</v>
      </c>
      <c r="F118" s="2" t="s">
        <v>41</v>
      </c>
      <c r="G118" s="2" t="s">
        <v>54</v>
      </c>
      <c r="H118" s="2" t="s">
        <v>25</v>
      </c>
      <c r="I118" s="2" t="s">
        <v>26</v>
      </c>
      <c r="J118" s="2" t="s">
        <v>27</v>
      </c>
      <c r="K118" s="2" t="s">
        <v>99</v>
      </c>
      <c r="L118" s="2" t="s">
        <v>92</v>
      </c>
      <c r="M118" s="2">
        <v>2</v>
      </c>
      <c r="N118" s="3">
        <v>750000</v>
      </c>
      <c r="O118" s="3">
        <v>739777.81</v>
      </c>
      <c r="P118" s="4">
        <v>0</v>
      </c>
      <c r="Q118" s="2">
        <v>0</v>
      </c>
      <c r="R118" s="3">
        <v>1479555.62</v>
      </c>
      <c r="S118" s="3">
        <v>0</v>
      </c>
      <c r="T118" s="3">
        <v>1479555.62</v>
      </c>
      <c r="U118" t="str">
        <f t="shared" si="1"/>
        <v>Not achive</v>
      </c>
    </row>
    <row r="119" spans="1:21" x14ac:dyDescent="0.3">
      <c r="A119" s="2">
        <v>800218</v>
      </c>
      <c r="B119" s="10">
        <v>45455</v>
      </c>
      <c r="C119" s="2" t="s">
        <v>20</v>
      </c>
      <c r="D119" s="2" t="s">
        <v>30</v>
      </c>
      <c r="E119" s="2" t="s">
        <v>31</v>
      </c>
      <c r="F119" s="2" t="s">
        <v>65</v>
      </c>
      <c r="G119" s="2" t="s">
        <v>116</v>
      </c>
      <c r="H119" s="2" t="s">
        <v>25</v>
      </c>
      <c r="I119" s="2" t="s">
        <v>26</v>
      </c>
      <c r="J119" s="2" t="s">
        <v>48</v>
      </c>
      <c r="K119" s="2" t="s">
        <v>49</v>
      </c>
      <c r="L119" s="2" t="s">
        <v>78</v>
      </c>
      <c r="M119" s="2">
        <v>2</v>
      </c>
      <c r="N119" s="3">
        <v>1200000</v>
      </c>
      <c r="O119" s="3">
        <v>1219232.8500000001</v>
      </c>
      <c r="P119" s="4">
        <v>0</v>
      </c>
      <c r="Q119" s="2">
        <v>0</v>
      </c>
      <c r="R119" s="3">
        <v>2438465.7000000002</v>
      </c>
      <c r="S119" s="3">
        <v>0</v>
      </c>
      <c r="T119" s="3">
        <v>2438465.7000000002</v>
      </c>
      <c r="U119" t="str">
        <f t="shared" si="1"/>
        <v>Achive</v>
      </c>
    </row>
    <row r="120" spans="1:21" x14ac:dyDescent="0.3">
      <c r="A120" s="2">
        <v>800083</v>
      </c>
      <c r="B120" s="10">
        <v>45456</v>
      </c>
      <c r="C120" s="2" t="s">
        <v>20</v>
      </c>
      <c r="D120" s="2" t="s">
        <v>30</v>
      </c>
      <c r="E120" s="2" t="s">
        <v>31</v>
      </c>
      <c r="F120" s="2" t="s">
        <v>46</v>
      </c>
      <c r="G120" s="2" t="s">
        <v>100</v>
      </c>
      <c r="H120" s="2" t="s">
        <v>25</v>
      </c>
      <c r="I120" s="2" t="s">
        <v>26</v>
      </c>
      <c r="J120" s="2" t="s">
        <v>27</v>
      </c>
      <c r="K120" s="2" t="s">
        <v>99</v>
      </c>
      <c r="L120" s="2" t="s">
        <v>87</v>
      </c>
      <c r="M120" s="2">
        <v>3</v>
      </c>
      <c r="N120" s="3">
        <v>750000</v>
      </c>
      <c r="O120" s="3">
        <v>753117.55</v>
      </c>
      <c r="P120" s="4">
        <v>12.5</v>
      </c>
      <c r="Q120" s="2">
        <v>0</v>
      </c>
      <c r="R120" s="3">
        <v>2259352.65</v>
      </c>
      <c r="S120" s="3">
        <v>282419.08</v>
      </c>
      <c r="T120" s="3">
        <v>1976933.57</v>
      </c>
      <c r="U120" t="str">
        <f t="shared" si="1"/>
        <v>Not achive</v>
      </c>
    </row>
    <row r="121" spans="1:21" x14ac:dyDescent="0.3">
      <c r="A121" s="2">
        <v>800152</v>
      </c>
      <c r="B121" s="10">
        <v>45456</v>
      </c>
      <c r="C121" s="2" t="s">
        <v>20</v>
      </c>
      <c r="D121" s="2" t="s">
        <v>74</v>
      </c>
      <c r="E121" s="2" t="s">
        <v>113</v>
      </c>
      <c r="F121" s="2" t="s">
        <v>41</v>
      </c>
      <c r="G121" s="2" t="s">
        <v>33</v>
      </c>
      <c r="H121" s="2" t="s">
        <v>25</v>
      </c>
      <c r="I121" s="2" t="s">
        <v>26</v>
      </c>
      <c r="J121" s="2" t="s">
        <v>127</v>
      </c>
      <c r="K121" s="2" t="s">
        <v>58</v>
      </c>
      <c r="L121" s="2" t="s">
        <v>37</v>
      </c>
      <c r="M121" s="2">
        <v>2</v>
      </c>
      <c r="N121" s="3">
        <v>650000</v>
      </c>
      <c r="O121" s="3">
        <v>646238.16</v>
      </c>
      <c r="P121" s="4">
        <v>2</v>
      </c>
      <c r="Q121" s="2">
        <v>0</v>
      </c>
      <c r="R121" s="3">
        <v>1292476.32</v>
      </c>
      <c r="S121" s="3">
        <v>25849.53</v>
      </c>
      <c r="T121" s="3">
        <v>1266626.79</v>
      </c>
      <c r="U121" t="str">
        <f t="shared" si="1"/>
        <v>Not achive</v>
      </c>
    </row>
    <row r="122" spans="1:21" x14ac:dyDescent="0.3">
      <c r="A122" s="2">
        <v>800096</v>
      </c>
      <c r="B122" s="10">
        <v>45457</v>
      </c>
      <c r="C122" s="2" t="s">
        <v>69</v>
      </c>
      <c r="D122" s="2" t="s">
        <v>95</v>
      </c>
      <c r="E122" s="2" t="s">
        <v>96</v>
      </c>
      <c r="F122" s="2" t="s">
        <v>46</v>
      </c>
      <c r="G122" s="2" t="s">
        <v>54</v>
      </c>
      <c r="H122" s="2" t="s">
        <v>25</v>
      </c>
      <c r="I122" s="2" t="s">
        <v>26</v>
      </c>
      <c r="J122" s="2" t="s">
        <v>76</v>
      </c>
      <c r="K122" s="2" t="s">
        <v>77</v>
      </c>
      <c r="L122" s="2" t="s">
        <v>123</v>
      </c>
      <c r="M122" s="2">
        <v>1</v>
      </c>
      <c r="N122" s="3">
        <v>700000</v>
      </c>
      <c r="O122" s="3">
        <v>706602.53</v>
      </c>
      <c r="P122" s="4">
        <v>0</v>
      </c>
      <c r="Q122" s="2">
        <v>0</v>
      </c>
      <c r="R122" s="3">
        <v>706602.53</v>
      </c>
      <c r="S122" s="3">
        <v>0</v>
      </c>
      <c r="T122" s="3">
        <v>706602.53</v>
      </c>
      <c r="U122" t="str">
        <f t="shared" si="1"/>
        <v>Not achive</v>
      </c>
    </row>
    <row r="123" spans="1:21" x14ac:dyDescent="0.3">
      <c r="A123" s="2">
        <v>800209</v>
      </c>
      <c r="B123" s="10">
        <v>45457</v>
      </c>
      <c r="C123" s="2" t="s">
        <v>20</v>
      </c>
      <c r="D123" s="2" t="s">
        <v>21</v>
      </c>
      <c r="E123" s="2" t="s">
        <v>98</v>
      </c>
      <c r="F123" s="2" t="s">
        <v>32</v>
      </c>
      <c r="G123" s="2" t="s">
        <v>94</v>
      </c>
      <c r="H123" s="2" t="s">
        <v>25</v>
      </c>
      <c r="I123" s="2" t="s">
        <v>26</v>
      </c>
      <c r="J123" s="2" t="s">
        <v>57</v>
      </c>
      <c r="K123" s="2" t="s">
        <v>99</v>
      </c>
      <c r="L123" s="2" t="s">
        <v>87</v>
      </c>
      <c r="M123" s="2">
        <v>1</v>
      </c>
      <c r="N123" s="3">
        <v>800000</v>
      </c>
      <c r="O123" s="3">
        <v>781553.6</v>
      </c>
      <c r="P123" s="4">
        <v>5</v>
      </c>
      <c r="Q123" s="2">
        <v>0</v>
      </c>
      <c r="R123" s="3">
        <v>781553.6</v>
      </c>
      <c r="S123" s="3">
        <v>39077.68</v>
      </c>
      <c r="T123" s="3">
        <v>742475.92</v>
      </c>
      <c r="U123" t="str">
        <f t="shared" si="1"/>
        <v>Not achive</v>
      </c>
    </row>
    <row r="124" spans="1:21" x14ac:dyDescent="0.3">
      <c r="A124" s="2">
        <v>800447</v>
      </c>
      <c r="B124" s="10">
        <v>45457</v>
      </c>
      <c r="C124" s="2" t="s">
        <v>69</v>
      </c>
      <c r="D124" s="2" t="s">
        <v>70</v>
      </c>
      <c r="E124" s="2" t="s">
        <v>71</v>
      </c>
      <c r="F124" s="2" t="s">
        <v>32</v>
      </c>
      <c r="G124" s="2" t="s">
        <v>100</v>
      </c>
      <c r="H124" s="2" t="s">
        <v>25</v>
      </c>
      <c r="I124" s="2" t="s">
        <v>26</v>
      </c>
      <c r="J124" s="2" t="s">
        <v>105</v>
      </c>
      <c r="K124" s="2" t="s">
        <v>49</v>
      </c>
      <c r="L124" s="2" t="s">
        <v>59</v>
      </c>
      <c r="M124" s="2">
        <v>3</v>
      </c>
      <c r="N124" s="3">
        <v>950000</v>
      </c>
      <c r="O124" s="3">
        <v>966558.57</v>
      </c>
      <c r="P124" s="4">
        <v>0</v>
      </c>
      <c r="Q124" s="2">
        <v>0</v>
      </c>
      <c r="R124" s="3">
        <v>2899675.71</v>
      </c>
      <c r="S124" s="3">
        <v>0</v>
      </c>
      <c r="T124" s="3">
        <v>2899675.71</v>
      </c>
      <c r="U124" t="str">
        <f t="shared" si="1"/>
        <v>Achive</v>
      </c>
    </row>
    <row r="125" spans="1:21" x14ac:dyDescent="0.3">
      <c r="A125" s="2">
        <v>800273</v>
      </c>
      <c r="B125" s="10">
        <v>45458</v>
      </c>
      <c r="C125" s="2" t="s">
        <v>20</v>
      </c>
      <c r="D125" s="2" t="s">
        <v>21</v>
      </c>
      <c r="E125" s="2" t="s">
        <v>22</v>
      </c>
      <c r="F125" s="2" t="s">
        <v>32</v>
      </c>
      <c r="G125" s="2" t="s">
        <v>90</v>
      </c>
      <c r="H125" s="2" t="s">
        <v>25</v>
      </c>
      <c r="I125" s="2" t="s">
        <v>34</v>
      </c>
      <c r="J125" s="2" t="s">
        <v>35</v>
      </c>
      <c r="K125" s="2" t="s">
        <v>45</v>
      </c>
      <c r="L125" s="2" t="s">
        <v>123</v>
      </c>
      <c r="M125" s="2">
        <v>6</v>
      </c>
      <c r="N125" s="3">
        <v>550000</v>
      </c>
      <c r="O125" s="3">
        <v>538380.15</v>
      </c>
      <c r="P125" s="4">
        <v>7.5</v>
      </c>
      <c r="Q125" s="2">
        <v>0</v>
      </c>
      <c r="R125" s="3">
        <v>3230280.9</v>
      </c>
      <c r="S125" s="3">
        <v>242271.07</v>
      </c>
      <c r="T125" s="3">
        <v>2988009.83</v>
      </c>
      <c r="U125" t="str">
        <f t="shared" si="1"/>
        <v>Achive</v>
      </c>
    </row>
    <row r="126" spans="1:21" x14ac:dyDescent="0.3">
      <c r="A126" s="2">
        <v>800368</v>
      </c>
      <c r="B126" s="10">
        <v>45458</v>
      </c>
      <c r="C126" s="2" t="s">
        <v>69</v>
      </c>
      <c r="D126" s="2" t="s">
        <v>83</v>
      </c>
      <c r="E126" s="2" t="s">
        <v>84</v>
      </c>
      <c r="F126" s="2" t="s">
        <v>41</v>
      </c>
      <c r="G126" s="2" t="s">
        <v>90</v>
      </c>
      <c r="H126" s="2" t="s">
        <v>25</v>
      </c>
      <c r="I126" s="2" t="s">
        <v>26</v>
      </c>
      <c r="J126" s="2" t="s">
        <v>127</v>
      </c>
      <c r="K126" s="2" t="s">
        <v>58</v>
      </c>
      <c r="L126" s="2" t="s">
        <v>92</v>
      </c>
      <c r="M126" s="2">
        <v>3</v>
      </c>
      <c r="N126" s="3">
        <v>650000</v>
      </c>
      <c r="O126" s="3">
        <v>635736.69999999995</v>
      </c>
      <c r="P126" s="4">
        <v>0</v>
      </c>
      <c r="Q126" s="2">
        <v>0</v>
      </c>
      <c r="R126" s="3">
        <v>1907210.1</v>
      </c>
      <c r="S126" s="3">
        <v>0</v>
      </c>
      <c r="T126" s="3">
        <v>1907210.1</v>
      </c>
      <c r="U126" t="str">
        <f t="shared" si="1"/>
        <v>Not achive</v>
      </c>
    </row>
    <row r="127" spans="1:21" x14ac:dyDescent="0.3">
      <c r="A127" s="2">
        <v>800617</v>
      </c>
      <c r="B127" s="10">
        <v>45458</v>
      </c>
      <c r="C127" s="2" t="s">
        <v>20</v>
      </c>
      <c r="D127" s="2" t="s">
        <v>21</v>
      </c>
      <c r="E127" s="2" t="s">
        <v>22</v>
      </c>
      <c r="F127" s="2" t="s">
        <v>41</v>
      </c>
      <c r="G127" s="2" t="s">
        <v>66</v>
      </c>
      <c r="H127" s="2" t="s">
        <v>25</v>
      </c>
      <c r="I127" s="2" t="s">
        <v>26</v>
      </c>
      <c r="J127" s="2" t="s">
        <v>105</v>
      </c>
      <c r="K127" s="2" t="s">
        <v>82</v>
      </c>
      <c r="L127" s="2" t="s">
        <v>59</v>
      </c>
      <c r="M127" s="2">
        <v>2</v>
      </c>
      <c r="N127" s="3">
        <v>950000</v>
      </c>
      <c r="O127" s="3">
        <v>943243.59</v>
      </c>
      <c r="P127" s="4">
        <v>0</v>
      </c>
      <c r="Q127" s="2">
        <v>0</v>
      </c>
      <c r="R127" s="3">
        <v>1886487.18</v>
      </c>
      <c r="S127" s="3">
        <v>0</v>
      </c>
      <c r="T127" s="3">
        <v>1886487.18</v>
      </c>
      <c r="U127" t="str">
        <f t="shared" si="1"/>
        <v>Not achive</v>
      </c>
    </row>
    <row r="128" spans="1:21" x14ac:dyDescent="0.3">
      <c r="A128" s="2">
        <v>800470</v>
      </c>
      <c r="B128" s="10">
        <v>45459</v>
      </c>
      <c r="C128" s="2" t="s">
        <v>51</v>
      </c>
      <c r="D128" s="2" t="s">
        <v>55</v>
      </c>
      <c r="E128" s="2" t="s">
        <v>137</v>
      </c>
      <c r="F128" s="2" t="s">
        <v>32</v>
      </c>
      <c r="G128" s="2" t="s">
        <v>94</v>
      </c>
      <c r="H128" s="2" t="s">
        <v>25</v>
      </c>
      <c r="I128" s="2" t="s">
        <v>26</v>
      </c>
      <c r="J128" s="2" t="s">
        <v>127</v>
      </c>
      <c r="K128" s="2" t="s">
        <v>58</v>
      </c>
      <c r="L128" s="2" t="s">
        <v>92</v>
      </c>
      <c r="M128" s="2">
        <v>3</v>
      </c>
      <c r="N128" s="3">
        <v>650000</v>
      </c>
      <c r="O128" s="3">
        <v>641280.88</v>
      </c>
      <c r="P128" s="4">
        <v>7.5</v>
      </c>
      <c r="Q128" s="2">
        <v>0</v>
      </c>
      <c r="R128" s="3">
        <v>1923842.64</v>
      </c>
      <c r="S128" s="3">
        <v>144288.20000000001</v>
      </c>
      <c r="T128" s="3">
        <v>1779554.44</v>
      </c>
      <c r="U128" t="str">
        <f t="shared" si="1"/>
        <v>Not achive</v>
      </c>
    </row>
    <row r="129" spans="1:21" x14ac:dyDescent="0.3">
      <c r="A129" s="2">
        <v>800102</v>
      </c>
      <c r="B129" s="10">
        <v>45461</v>
      </c>
      <c r="C129" s="2" t="s">
        <v>20</v>
      </c>
      <c r="D129" s="2" t="s">
        <v>74</v>
      </c>
      <c r="E129" s="2" t="s">
        <v>113</v>
      </c>
      <c r="F129" s="2" t="s">
        <v>23</v>
      </c>
      <c r="G129" s="2" t="s">
        <v>72</v>
      </c>
      <c r="H129" s="2" t="s">
        <v>25</v>
      </c>
      <c r="I129" s="2" t="s">
        <v>26</v>
      </c>
      <c r="J129" s="2" t="s">
        <v>120</v>
      </c>
      <c r="K129" s="2" t="s">
        <v>49</v>
      </c>
      <c r="L129" s="2" t="s">
        <v>123</v>
      </c>
      <c r="M129" s="2">
        <v>2</v>
      </c>
      <c r="N129" s="3">
        <v>1900000</v>
      </c>
      <c r="O129" s="3">
        <v>1872689.74</v>
      </c>
      <c r="P129" s="4">
        <v>5</v>
      </c>
      <c r="Q129" s="2">
        <v>0</v>
      </c>
      <c r="R129" s="3">
        <v>3745379.48</v>
      </c>
      <c r="S129" s="3">
        <v>187268.97</v>
      </c>
      <c r="T129" s="3">
        <v>3558110.51</v>
      </c>
      <c r="U129" t="str">
        <f t="shared" si="1"/>
        <v>Achive</v>
      </c>
    </row>
    <row r="130" spans="1:21" x14ac:dyDescent="0.3">
      <c r="A130" s="2">
        <v>800473</v>
      </c>
      <c r="B130" s="10">
        <v>45461</v>
      </c>
      <c r="C130" s="2" t="s">
        <v>69</v>
      </c>
      <c r="D130" s="2" t="s">
        <v>95</v>
      </c>
      <c r="E130" s="2" t="s">
        <v>135</v>
      </c>
      <c r="F130" s="2" t="s">
        <v>41</v>
      </c>
      <c r="G130" s="2" t="s">
        <v>90</v>
      </c>
      <c r="H130" s="2" t="s">
        <v>25</v>
      </c>
      <c r="I130" s="2" t="s">
        <v>43</v>
      </c>
      <c r="J130" s="2" t="s">
        <v>101</v>
      </c>
      <c r="K130" s="2" t="s">
        <v>45</v>
      </c>
      <c r="L130" s="2" t="s">
        <v>37</v>
      </c>
      <c r="M130" s="2">
        <v>5</v>
      </c>
      <c r="N130" s="3">
        <v>1000000</v>
      </c>
      <c r="O130" s="3">
        <v>971246.74</v>
      </c>
      <c r="P130" s="4">
        <v>12.5</v>
      </c>
      <c r="Q130" s="2">
        <v>0</v>
      </c>
      <c r="R130" s="3">
        <v>4856233.7</v>
      </c>
      <c r="S130" s="3">
        <v>607029.21</v>
      </c>
      <c r="T130" s="3">
        <v>4249204.49</v>
      </c>
      <c r="U130" t="str">
        <f t="shared" ref="U130:U193" si="2">IF(T130&gt;2000000,"Achive","Not achive")</f>
        <v>Achive</v>
      </c>
    </row>
    <row r="131" spans="1:21" x14ac:dyDescent="0.3">
      <c r="A131" s="2">
        <v>800079</v>
      </c>
      <c r="B131" s="10">
        <v>45462</v>
      </c>
      <c r="C131" s="2" t="s">
        <v>69</v>
      </c>
      <c r="D131" s="2" t="s">
        <v>83</v>
      </c>
      <c r="E131" s="2" t="s">
        <v>84</v>
      </c>
      <c r="F131" s="2" t="s">
        <v>41</v>
      </c>
      <c r="G131" s="2" t="s">
        <v>66</v>
      </c>
      <c r="H131" s="2" t="s">
        <v>25</v>
      </c>
      <c r="I131" s="2" t="s">
        <v>26</v>
      </c>
      <c r="J131" s="2" t="s">
        <v>27</v>
      </c>
      <c r="K131" s="2" t="s">
        <v>99</v>
      </c>
      <c r="L131" s="2" t="s">
        <v>37</v>
      </c>
      <c r="M131" s="2">
        <v>1</v>
      </c>
      <c r="N131" s="3">
        <v>750000</v>
      </c>
      <c r="O131" s="3">
        <v>754591.64</v>
      </c>
      <c r="P131" s="4">
        <v>10</v>
      </c>
      <c r="Q131" s="2">
        <v>0</v>
      </c>
      <c r="R131" s="3">
        <v>754591.64</v>
      </c>
      <c r="S131" s="3">
        <v>75459.16</v>
      </c>
      <c r="T131" s="3">
        <v>679132.48</v>
      </c>
      <c r="U131" t="str">
        <f t="shared" si="2"/>
        <v>Not achive</v>
      </c>
    </row>
    <row r="132" spans="1:21" x14ac:dyDescent="0.3">
      <c r="A132" s="2">
        <v>800418</v>
      </c>
      <c r="B132" s="10">
        <v>45462</v>
      </c>
      <c r="C132" s="2" t="s">
        <v>38</v>
      </c>
      <c r="D132" s="2" t="s">
        <v>63</v>
      </c>
      <c r="E132" s="2" t="s">
        <v>114</v>
      </c>
      <c r="F132" s="2" t="s">
        <v>32</v>
      </c>
      <c r="G132" s="2" t="s">
        <v>100</v>
      </c>
      <c r="H132" s="2" t="s">
        <v>25</v>
      </c>
      <c r="I132" s="2" t="s">
        <v>67</v>
      </c>
      <c r="J132" s="2" t="s">
        <v>108</v>
      </c>
      <c r="K132" s="2" t="s">
        <v>62</v>
      </c>
      <c r="L132" s="2" t="s">
        <v>123</v>
      </c>
      <c r="M132" s="2">
        <v>3</v>
      </c>
      <c r="N132" s="3">
        <v>1800000</v>
      </c>
      <c r="O132" s="3">
        <v>1788155.52</v>
      </c>
      <c r="P132" s="4">
        <v>0</v>
      </c>
      <c r="Q132" s="2">
        <v>0</v>
      </c>
      <c r="R132" s="3">
        <v>5364466.5599999996</v>
      </c>
      <c r="S132" s="3">
        <v>0</v>
      </c>
      <c r="T132" s="3">
        <v>5364466.5599999996</v>
      </c>
      <c r="U132" t="str">
        <f t="shared" si="2"/>
        <v>Achive</v>
      </c>
    </row>
    <row r="133" spans="1:21" x14ac:dyDescent="0.3">
      <c r="A133" s="2">
        <v>800563</v>
      </c>
      <c r="B133" s="10">
        <v>45462</v>
      </c>
      <c r="C133" s="2" t="s">
        <v>38</v>
      </c>
      <c r="D133" s="2" t="s">
        <v>79</v>
      </c>
      <c r="E133" s="2" t="s">
        <v>133</v>
      </c>
      <c r="F133" s="2" t="s">
        <v>46</v>
      </c>
      <c r="G133" s="2" t="s">
        <v>94</v>
      </c>
      <c r="H133" s="2" t="s">
        <v>25</v>
      </c>
      <c r="I133" s="2" t="s">
        <v>67</v>
      </c>
      <c r="J133" s="2" t="s">
        <v>68</v>
      </c>
      <c r="K133" s="2" t="s">
        <v>117</v>
      </c>
      <c r="L133" s="2" t="s">
        <v>37</v>
      </c>
      <c r="M133" s="2">
        <v>2</v>
      </c>
      <c r="N133" s="3">
        <v>1200000</v>
      </c>
      <c r="O133" s="3">
        <v>1184418.79</v>
      </c>
      <c r="P133" s="4">
        <v>0</v>
      </c>
      <c r="Q133" s="2">
        <v>0</v>
      </c>
      <c r="R133" s="3">
        <v>2368837.58</v>
      </c>
      <c r="S133" s="3">
        <v>0</v>
      </c>
      <c r="T133" s="3">
        <v>2368837.58</v>
      </c>
      <c r="U133" t="str">
        <f t="shared" si="2"/>
        <v>Achive</v>
      </c>
    </row>
    <row r="134" spans="1:21" x14ac:dyDescent="0.3">
      <c r="A134" s="2">
        <v>800236</v>
      </c>
      <c r="B134" s="10">
        <v>45463</v>
      </c>
      <c r="C134" s="2" t="s">
        <v>69</v>
      </c>
      <c r="D134" s="2" t="s">
        <v>83</v>
      </c>
      <c r="E134" s="2" t="s">
        <v>84</v>
      </c>
      <c r="F134" s="2" t="s">
        <v>65</v>
      </c>
      <c r="G134" s="2" t="s">
        <v>42</v>
      </c>
      <c r="H134" s="2" t="s">
        <v>25</v>
      </c>
      <c r="I134" s="2" t="s">
        <v>34</v>
      </c>
      <c r="J134" s="2" t="s">
        <v>35</v>
      </c>
      <c r="K134" s="2" t="s">
        <v>45</v>
      </c>
      <c r="L134" s="2" t="s">
        <v>29</v>
      </c>
      <c r="M134" s="2">
        <v>1</v>
      </c>
      <c r="N134" s="3">
        <v>550000</v>
      </c>
      <c r="O134" s="3">
        <v>550719.93999999994</v>
      </c>
      <c r="P134" s="4">
        <v>12.5</v>
      </c>
      <c r="Q134" s="2">
        <v>0</v>
      </c>
      <c r="R134" s="3">
        <v>550719.93999999994</v>
      </c>
      <c r="S134" s="3">
        <v>68839.990000000005</v>
      </c>
      <c r="T134" s="3">
        <v>481879.95</v>
      </c>
      <c r="U134" t="str">
        <f t="shared" si="2"/>
        <v>Not achive</v>
      </c>
    </row>
    <row r="135" spans="1:21" x14ac:dyDescent="0.3">
      <c r="A135" s="2">
        <v>800274</v>
      </c>
      <c r="B135" s="10">
        <v>45463</v>
      </c>
      <c r="C135" s="2" t="s">
        <v>69</v>
      </c>
      <c r="D135" s="2" t="s">
        <v>95</v>
      </c>
      <c r="E135" s="2" t="s">
        <v>96</v>
      </c>
      <c r="F135" s="2" t="s">
        <v>65</v>
      </c>
      <c r="G135" s="2" t="s">
        <v>61</v>
      </c>
      <c r="H135" s="2" t="s">
        <v>25</v>
      </c>
      <c r="I135" s="2" t="s">
        <v>26</v>
      </c>
      <c r="J135" s="2" t="s">
        <v>105</v>
      </c>
      <c r="K135" s="2" t="s">
        <v>82</v>
      </c>
      <c r="L135" s="2" t="s">
        <v>87</v>
      </c>
      <c r="M135" s="2">
        <v>3</v>
      </c>
      <c r="N135" s="3">
        <v>950000</v>
      </c>
      <c r="O135" s="3">
        <v>926299.03</v>
      </c>
      <c r="P135" s="4">
        <v>5</v>
      </c>
      <c r="Q135" s="2">
        <v>0</v>
      </c>
      <c r="R135" s="3">
        <v>2778897.09</v>
      </c>
      <c r="S135" s="3">
        <v>138944.85</v>
      </c>
      <c r="T135" s="3">
        <v>2639952.2400000002</v>
      </c>
      <c r="U135" t="str">
        <f t="shared" si="2"/>
        <v>Achive</v>
      </c>
    </row>
    <row r="136" spans="1:21" x14ac:dyDescent="0.3">
      <c r="A136" s="2">
        <v>800526</v>
      </c>
      <c r="B136" s="10">
        <v>45464</v>
      </c>
      <c r="C136" s="2" t="s">
        <v>69</v>
      </c>
      <c r="D136" s="2" t="s">
        <v>70</v>
      </c>
      <c r="E136" s="2" t="s">
        <v>136</v>
      </c>
      <c r="F136" s="2" t="s">
        <v>46</v>
      </c>
      <c r="G136" s="2" t="s">
        <v>47</v>
      </c>
      <c r="H136" s="2" t="s">
        <v>25</v>
      </c>
      <c r="I136" s="2" t="s">
        <v>26</v>
      </c>
      <c r="J136" s="2" t="s">
        <v>127</v>
      </c>
      <c r="K136" s="2" t="s">
        <v>58</v>
      </c>
      <c r="L136" s="2" t="s">
        <v>50</v>
      </c>
      <c r="M136" s="2">
        <v>1</v>
      </c>
      <c r="N136" s="3">
        <v>650000</v>
      </c>
      <c r="O136" s="3">
        <v>652770.42000000004</v>
      </c>
      <c r="P136" s="4">
        <v>12.5</v>
      </c>
      <c r="Q136" s="2">
        <v>0</v>
      </c>
      <c r="R136" s="3">
        <v>652770.42000000004</v>
      </c>
      <c r="S136" s="3">
        <v>81596.3</v>
      </c>
      <c r="T136" s="3">
        <v>571174.12</v>
      </c>
      <c r="U136" t="str">
        <f t="shared" si="2"/>
        <v>Not achive</v>
      </c>
    </row>
    <row r="137" spans="1:21" x14ac:dyDescent="0.3">
      <c r="A137" s="2">
        <v>800337</v>
      </c>
      <c r="B137" s="10">
        <v>45465</v>
      </c>
      <c r="C137" s="2" t="s">
        <v>20</v>
      </c>
      <c r="D137" s="2" t="s">
        <v>30</v>
      </c>
      <c r="E137" s="2" t="s">
        <v>88</v>
      </c>
      <c r="F137" s="2" t="s">
        <v>23</v>
      </c>
      <c r="G137" s="2" t="s">
        <v>116</v>
      </c>
      <c r="H137" s="2" t="s">
        <v>25</v>
      </c>
      <c r="I137" s="2" t="s">
        <v>67</v>
      </c>
      <c r="J137" s="2" t="s">
        <v>108</v>
      </c>
      <c r="K137" s="2" t="s">
        <v>89</v>
      </c>
      <c r="L137" s="2" t="s">
        <v>29</v>
      </c>
      <c r="M137" s="2">
        <v>2</v>
      </c>
      <c r="N137" s="3">
        <v>1800000</v>
      </c>
      <c r="O137" s="3">
        <v>1759079.4</v>
      </c>
      <c r="P137" s="4">
        <v>0</v>
      </c>
      <c r="Q137" s="2">
        <v>0</v>
      </c>
      <c r="R137" s="3">
        <v>3518158.8</v>
      </c>
      <c r="S137" s="3">
        <v>0</v>
      </c>
      <c r="T137" s="3">
        <v>3518158.8</v>
      </c>
      <c r="U137" t="str">
        <f t="shared" si="2"/>
        <v>Achive</v>
      </c>
    </row>
    <row r="138" spans="1:21" x14ac:dyDescent="0.3">
      <c r="A138" s="2">
        <v>800249</v>
      </c>
      <c r="B138" s="10">
        <v>45466</v>
      </c>
      <c r="C138" s="2" t="s">
        <v>20</v>
      </c>
      <c r="D138" s="2" t="s">
        <v>21</v>
      </c>
      <c r="E138" s="2" t="s">
        <v>22</v>
      </c>
      <c r="F138" s="2" t="s">
        <v>32</v>
      </c>
      <c r="G138" s="2" t="s">
        <v>54</v>
      </c>
      <c r="H138" s="2" t="s">
        <v>25</v>
      </c>
      <c r="I138" s="2" t="s">
        <v>26</v>
      </c>
      <c r="J138" s="2" t="s">
        <v>127</v>
      </c>
      <c r="K138" s="2" t="s">
        <v>130</v>
      </c>
      <c r="L138" s="2" t="s">
        <v>73</v>
      </c>
      <c r="M138" s="2">
        <v>1</v>
      </c>
      <c r="N138" s="3">
        <v>650000</v>
      </c>
      <c r="O138" s="3">
        <v>630911.61</v>
      </c>
      <c r="P138" s="4">
        <v>0</v>
      </c>
      <c r="Q138" s="2">
        <v>0</v>
      </c>
      <c r="R138" s="3">
        <v>630911.61</v>
      </c>
      <c r="S138" s="3">
        <v>0</v>
      </c>
      <c r="T138" s="3">
        <v>630911.61</v>
      </c>
      <c r="U138" t="str">
        <f t="shared" si="2"/>
        <v>Not achive</v>
      </c>
    </row>
    <row r="139" spans="1:21" x14ac:dyDescent="0.3">
      <c r="A139" s="2">
        <v>800559</v>
      </c>
      <c r="B139" s="10">
        <v>45466</v>
      </c>
      <c r="C139" s="2" t="s">
        <v>38</v>
      </c>
      <c r="D139" s="2" t="s">
        <v>63</v>
      </c>
      <c r="E139" s="2" t="s">
        <v>64</v>
      </c>
      <c r="F139" s="2" t="s">
        <v>65</v>
      </c>
      <c r="G139" s="2" t="s">
        <v>42</v>
      </c>
      <c r="H139" s="2" t="s">
        <v>25</v>
      </c>
      <c r="I139" s="2" t="s">
        <v>26</v>
      </c>
      <c r="J139" s="2" t="s">
        <v>81</v>
      </c>
      <c r="K139" s="2" t="s">
        <v>77</v>
      </c>
      <c r="L139" s="2" t="s">
        <v>50</v>
      </c>
      <c r="M139" s="2">
        <v>2</v>
      </c>
      <c r="N139" s="3">
        <v>1700000</v>
      </c>
      <c r="O139" s="3">
        <v>1692564.7</v>
      </c>
      <c r="P139" s="4">
        <v>0</v>
      </c>
      <c r="Q139" s="2">
        <v>0</v>
      </c>
      <c r="R139" s="3">
        <v>3385129.4</v>
      </c>
      <c r="S139" s="3">
        <v>0</v>
      </c>
      <c r="T139" s="3">
        <v>3385129.4</v>
      </c>
      <c r="U139" t="str">
        <f t="shared" si="2"/>
        <v>Achive</v>
      </c>
    </row>
    <row r="140" spans="1:21" x14ac:dyDescent="0.3">
      <c r="A140" s="2">
        <v>800260</v>
      </c>
      <c r="B140" s="10">
        <v>45467</v>
      </c>
      <c r="C140" s="2" t="s">
        <v>20</v>
      </c>
      <c r="D140" s="2" t="s">
        <v>30</v>
      </c>
      <c r="E140" s="2" t="s">
        <v>88</v>
      </c>
      <c r="F140" s="2" t="s">
        <v>65</v>
      </c>
      <c r="G140" s="2" t="s">
        <v>66</v>
      </c>
      <c r="H140" s="2" t="s">
        <v>25</v>
      </c>
      <c r="I140" s="2" t="s">
        <v>67</v>
      </c>
      <c r="J140" s="2" t="s">
        <v>68</v>
      </c>
      <c r="K140" s="2" t="s">
        <v>49</v>
      </c>
      <c r="L140" s="2" t="s">
        <v>50</v>
      </c>
      <c r="M140" s="2">
        <v>1</v>
      </c>
      <c r="N140" s="3">
        <v>1200000</v>
      </c>
      <c r="O140" s="3">
        <v>1172166.71</v>
      </c>
      <c r="P140" s="4">
        <v>0</v>
      </c>
      <c r="Q140" s="2">
        <v>0</v>
      </c>
      <c r="R140" s="3">
        <v>1172166.71</v>
      </c>
      <c r="S140" s="3">
        <v>0</v>
      </c>
      <c r="T140" s="3">
        <v>1172166.71</v>
      </c>
      <c r="U140" t="str">
        <f t="shared" si="2"/>
        <v>Not achive</v>
      </c>
    </row>
    <row r="141" spans="1:21" x14ac:dyDescent="0.3">
      <c r="A141" s="2">
        <v>800281</v>
      </c>
      <c r="B141" s="10">
        <v>45467</v>
      </c>
      <c r="C141" s="2" t="s">
        <v>69</v>
      </c>
      <c r="D141" s="2" t="s">
        <v>83</v>
      </c>
      <c r="E141" s="2" t="s">
        <v>97</v>
      </c>
      <c r="F141" s="2" t="s">
        <v>32</v>
      </c>
      <c r="G141" s="2" t="s">
        <v>61</v>
      </c>
      <c r="H141" s="2" t="s">
        <v>25</v>
      </c>
      <c r="I141" s="2" t="s">
        <v>26</v>
      </c>
      <c r="J141" s="2" t="s">
        <v>105</v>
      </c>
      <c r="K141" s="2" t="s">
        <v>82</v>
      </c>
      <c r="L141" s="2" t="s">
        <v>92</v>
      </c>
      <c r="M141" s="2">
        <v>2</v>
      </c>
      <c r="N141" s="3">
        <v>950000</v>
      </c>
      <c r="O141" s="3">
        <v>954963.97</v>
      </c>
      <c r="P141" s="4">
        <v>10</v>
      </c>
      <c r="Q141" s="2">
        <v>0</v>
      </c>
      <c r="R141" s="3">
        <v>1909927.94</v>
      </c>
      <c r="S141" s="3">
        <v>190992.79</v>
      </c>
      <c r="T141" s="3">
        <v>1718935.15</v>
      </c>
      <c r="U141" t="str">
        <f t="shared" si="2"/>
        <v>Not achive</v>
      </c>
    </row>
    <row r="142" spans="1:21" x14ac:dyDescent="0.3">
      <c r="A142" s="2">
        <v>800330</v>
      </c>
      <c r="B142" s="10">
        <v>45467</v>
      </c>
      <c r="C142" s="2" t="s">
        <v>20</v>
      </c>
      <c r="D142" s="2" t="s">
        <v>21</v>
      </c>
      <c r="E142" s="2" t="s">
        <v>98</v>
      </c>
      <c r="F142" s="2" t="s">
        <v>46</v>
      </c>
      <c r="G142" s="2" t="s">
        <v>116</v>
      </c>
      <c r="H142" s="2" t="s">
        <v>25</v>
      </c>
      <c r="I142" s="2" t="s">
        <v>26</v>
      </c>
      <c r="J142" s="2" t="s">
        <v>105</v>
      </c>
      <c r="K142" s="2" t="s">
        <v>89</v>
      </c>
      <c r="L142" s="2" t="s">
        <v>78</v>
      </c>
      <c r="M142" s="2">
        <v>3</v>
      </c>
      <c r="N142" s="3">
        <v>950000</v>
      </c>
      <c r="O142" s="3">
        <v>946294.29</v>
      </c>
      <c r="P142" s="4">
        <v>0</v>
      </c>
      <c r="Q142" s="2">
        <v>1</v>
      </c>
      <c r="R142" s="3">
        <v>2838882.87</v>
      </c>
      <c r="S142" s="3">
        <v>0</v>
      </c>
      <c r="T142" s="3">
        <v>2838882.87</v>
      </c>
      <c r="U142" t="str">
        <f t="shared" si="2"/>
        <v>Achive</v>
      </c>
    </row>
    <row r="143" spans="1:21" x14ac:dyDescent="0.3">
      <c r="A143" s="2">
        <v>800646</v>
      </c>
      <c r="B143" s="10">
        <v>45467</v>
      </c>
      <c r="C143" s="2" t="s">
        <v>38</v>
      </c>
      <c r="D143" s="2" t="s">
        <v>39</v>
      </c>
      <c r="E143" s="2" t="s">
        <v>40</v>
      </c>
      <c r="F143" s="2" t="s">
        <v>46</v>
      </c>
      <c r="G143" s="2" t="s">
        <v>116</v>
      </c>
      <c r="H143" s="2" t="s">
        <v>25</v>
      </c>
      <c r="I143" s="2" t="s">
        <v>26</v>
      </c>
      <c r="J143" s="2" t="s">
        <v>120</v>
      </c>
      <c r="K143" s="2" t="s">
        <v>121</v>
      </c>
      <c r="L143" s="2" t="s">
        <v>50</v>
      </c>
      <c r="M143" s="2">
        <v>1</v>
      </c>
      <c r="N143" s="3">
        <v>1900000</v>
      </c>
      <c r="O143" s="3">
        <v>1875138.84</v>
      </c>
      <c r="P143" s="4">
        <v>10</v>
      </c>
      <c r="Q143" s="2">
        <v>0</v>
      </c>
      <c r="R143" s="3">
        <v>1875138.84</v>
      </c>
      <c r="S143" s="3">
        <v>187513.88</v>
      </c>
      <c r="T143" s="3">
        <v>1687624.96</v>
      </c>
      <c r="U143" t="str">
        <f t="shared" si="2"/>
        <v>Not achive</v>
      </c>
    </row>
    <row r="144" spans="1:21" x14ac:dyDescent="0.3">
      <c r="A144" s="2">
        <v>800251</v>
      </c>
      <c r="B144" s="10">
        <v>45468</v>
      </c>
      <c r="C144" s="2" t="s">
        <v>38</v>
      </c>
      <c r="D144" s="2" t="s">
        <v>39</v>
      </c>
      <c r="E144" s="2" t="s">
        <v>40</v>
      </c>
      <c r="F144" s="2" t="s">
        <v>32</v>
      </c>
      <c r="G144" s="2" t="s">
        <v>42</v>
      </c>
      <c r="H144" s="2" t="s">
        <v>25</v>
      </c>
      <c r="I144" s="2" t="s">
        <v>26</v>
      </c>
      <c r="J144" s="2" t="s">
        <v>27</v>
      </c>
      <c r="K144" s="2" t="s">
        <v>28</v>
      </c>
      <c r="L144" s="2" t="s">
        <v>37</v>
      </c>
      <c r="M144" s="2">
        <v>3</v>
      </c>
      <c r="N144" s="3">
        <v>750000</v>
      </c>
      <c r="O144" s="3">
        <v>741004.65</v>
      </c>
      <c r="P144" s="4">
        <v>12.5</v>
      </c>
      <c r="Q144" s="2">
        <v>0</v>
      </c>
      <c r="R144" s="3">
        <v>2223013.9500000002</v>
      </c>
      <c r="S144" s="3">
        <v>277876.74</v>
      </c>
      <c r="T144" s="3">
        <v>1945137.21</v>
      </c>
      <c r="U144" t="str">
        <f t="shared" si="2"/>
        <v>Not achive</v>
      </c>
    </row>
    <row r="145" spans="1:21" x14ac:dyDescent="0.3">
      <c r="A145" s="2">
        <v>800642</v>
      </c>
      <c r="B145" s="10">
        <v>45468</v>
      </c>
      <c r="C145" s="2" t="s">
        <v>51</v>
      </c>
      <c r="D145" s="2" t="s">
        <v>106</v>
      </c>
      <c r="E145" s="2" t="s">
        <v>107</v>
      </c>
      <c r="F145" s="2" t="s">
        <v>23</v>
      </c>
      <c r="G145" s="2" t="s">
        <v>61</v>
      </c>
      <c r="H145" s="2" t="s">
        <v>25</v>
      </c>
      <c r="I145" s="2" t="s">
        <v>26</v>
      </c>
      <c r="J145" s="2" t="s">
        <v>27</v>
      </c>
      <c r="K145" s="2" t="s">
        <v>99</v>
      </c>
      <c r="L145" s="2" t="s">
        <v>92</v>
      </c>
      <c r="M145" s="2">
        <v>1</v>
      </c>
      <c r="N145" s="3">
        <v>750000</v>
      </c>
      <c r="O145" s="3">
        <v>758385.38</v>
      </c>
      <c r="P145" s="4">
        <v>0</v>
      </c>
      <c r="Q145" s="2">
        <v>0</v>
      </c>
      <c r="R145" s="3">
        <v>758385.38</v>
      </c>
      <c r="S145" s="3">
        <v>0</v>
      </c>
      <c r="T145" s="3">
        <v>758385.38</v>
      </c>
      <c r="U145" t="str">
        <f t="shared" si="2"/>
        <v>Not achive</v>
      </c>
    </row>
    <row r="146" spans="1:21" x14ac:dyDescent="0.3">
      <c r="A146" s="2">
        <v>800149</v>
      </c>
      <c r="B146" s="10">
        <v>45469</v>
      </c>
      <c r="C146" s="2" t="s">
        <v>38</v>
      </c>
      <c r="D146" s="2" t="s">
        <v>39</v>
      </c>
      <c r="E146" s="2" t="s">
        <v>40</v>
      </c>
      <c r="F146" s="2" t="s">
        <v>46</v>
      </c>
      <c r="G146" s="2" t="s">
        <v>42</v>
      </c>
      <c r="H146" s="2" t="s">
        <v>25</v>
      </c>
      <c r="I146" s="2" t="s">
        <v>67</v>
      </c>
      <c r="J146" s="2" t="s">
        <v>108</v>
      </c>
      <c r="K146" s="2" t="s">
        <v>62</v>
      </c>
      <c r="L146" s="2" t="s">
        <v>73</v>
      </c>
      <c r="M146" s="2">
        <v>3</v>
      </c>
      <c r="N146" s="3">
        <v>1800000</v>
      </c>
      <c r="O146" s="3">
        <v>1773254.21</v>
      </c>
      <c r="P146" s="4">
        <v>0</v>
      </c>
      <c r="Q146" s="2">
        <v>0</v>
      </c>
      <c r="R146" s="3">
        <v>5319762.63</v>
      </c>
      <c r="S146" s="3">
        <v>0</v>
      </c>
      <c r="T146" s="3">
        <v>5319762.63</v>
      </c>
      <c r="U146" t="str">
        <f t="shared" si="2"/>
        <v>Achive</v>
      </c>
    </row>
    <row r="147" spans="1:21" x14ac:dyDescent="0.3">
      <c r="A147" s="2">
        <v>800231</v>
      </c>
      <c r="B147" s="10">
        <v>45469</v>
      </c>
      <c r="C147" s="2" t="s">
        <v>38</v>
      </c>
      <c r="D147" s="2" t="s">
        <v>63</v>
      </c>
      <c r="E147" s="2" t="s">
        <v>114</v>
      </c>
      <c r="F147" s="2" t="s">
        <v>32</v>
      </c>
      <c r="G147" s="2" t="s">
        <v>100</v>
      </c>
      <c r="H147" s="2" t="s">
        <v>25</v>
      </c>
      <c r="I147" s="2" t="s">
        <v>34</v>
      </c>
      <c r="J147" s="2" t="s">
        <v>35</v>
      </c>
      <c r="K147" s="2" t="s">
        <v>45</v>
      </c>
      <c r="L147" s="2" t="s">
        <v>122</v>
      </c>
      <c r="M147" s="2">
        <v>1</v>
      </c>
      <c r="N147" s="3">
        <v>550000</v>
      </c>
      <c r="O147" s="3">
        <v>549177.04</v>
      </c>
      <c r="P147" s="4">
        <v>5</v>
      </c>
      <c r="Q147" s="2">
        <v>0</v>
      </c>
      <c r="R147" s="3">
        <v>549177.04</v>
      </c>
      <c r="S147" s="3">
        <v>27458.85</v>
      </c>
      <c r="T147" s="3">
        <v>521718.19</v>
      </c>
      <c r="U147" t="str">
        <f t="shared" si="2"/>
        <v>Not achive</v>
      </c>
    </row>
    <row r="148" spans="1:21" x14ac:dyDescent="0.3">
      <c r="A148" s="2">
        <v>800630</v>
      </c>
      <c r="B148" s="10">
        <v>45470</v>
      </c>
      <c r="C148" s="2" t="s">
        <v>69</v>
      </c>
      <c r="D148" s="2" t="s">
        <v>95</v>
      </c>
      <c r="E148" s="2" t="s">
        <v>131</v>
      </c>
      <c r="F148" s="2" t="s">
        <v>32</v>
      </c>
      <c r="G148" s="2" t="s">
        <v>47</v>
      </c>
      <c r="H148" s="2" t="s">
        <v>25</v>
      </c>
      <c r="I148" s="2" t="s">
        <v>43</v>
      </c>
      <c r="J148" s="2" t="s">
        <v>44</v>
      </c>
      <c r="K148" s="2" t="s">
        <v>45</v>
      </c>
      <c r="L148" s="2" t="s">
        <v>87</v>
      </c>
      <c r="M148" s="2">
        <v>5</v>
      </c>
      <c r="N148" s="3">
        <v>800000</v>
      </c>
      <c r="O148" s="3">
        <v>776716.61</v>
      </c>
      <c r="P148" s="4">
        <v>10</v>
      </c>
      <c r="Q148" s="2">
        <v>0</v>
      </c>
      <c r="R148" s="3">
        <v>3883583.05</v>
      </c>
      <c r="S148" s="3">
        <v>388358.3</v>
      </c>
      <c r="T148" s="3">
        <v>3495224.75</v>
      </c>
      <c r="U148" t="str">
        <f t="shared" si="2"/>
        <v>Achive</v>
      </c>
    </row>
    <row r="149" spans="1:21" x14ac:dyDescent="0.3">
      <c r="A149" s="2">
        <v>800134</v>
      </c>
      <c r="B149" s="10">
        <v>45472</v>
      </c>
      <c r="C149" s="2" t="s">
        <v>38</v>
      </c>
      <c r="D149" s="2" t="s">
        <v>79</v>
      </c>
      <c r="E149" s="2" t="s">
        <v>138</v>
      </c>
      <c r="F149" s="2" t="s">
        <v>41</v>
      </c>
      <c r="G149" s="2" t="s">
        <v>54</v>
      </c>
      <c r="H149" s="2" t="s">
        <v>25</v>
      </c>
      <c r="I149" s="2" t="s">
        <v>26</v>
      </c>
      <c r="J149" s="2" t="s">
        <v>120</v>
      </c>
      <c r="K149" s="2" t="s">
        <v>77</v>
      </c>
      <c r="L149" s="2" t="s">
        <v>73</v>
      </c>
      <c r="M149" s="2">
        <v>1</v>
      </c>
      <c r="N149" s="3">
        <v>1900000</v>
      </c>
      <c r="O149" s="3">
        <v>1876468.41</v>
      </c>
      <c r="P149" s="4">
        <v>7.5</v>
      </c>
      <c r="Q149" s="2">
        <v>0</v>
      </c>
      <c r="R149" s="3">
        <v>1876468.41</v>
      </c>
      <c r="S149" s="3">
        <v>140735.13</v>
      </c>
      <c r="T149" s="3">
        <v>1735733.28</v>
      </c>
      <c r="U149" t="str">
        <f t="shared" si="2"/>
        <v>Not achive</v>
      </c>
    </row>
    <row r="150" spans="1:21" x14ac:dyDescent="0.3">
      <c r="A150" s="2">
        <v>800499</v>
      </c>
      <c r="B150" s="10">
        <v>45472</v>
      </c>
      <c r="C150" s="2" t="s">
        <v>38</v>
      </c>
      <c r="D150" s="2" t="s">
        <v>118</v>
      </c>
      <c r="E150" s="2" t="s">
        <v>125</v>
      </c>
      <c r="F150" s="2" t="s">
        <v>41</v>
      </c>
      <c r="G150" s="2" t="s">
        <v>33</v>
      </c>
      <c r="H150" s="2" t="s">
        <v>25</v>
      </c>
      <c r="I150" s="2" t="s">
        <v>26</v>
      </c>
      <c r="J150" s="2" t="s">
        <v>27</v>
      </c>
      <c r="K150" s="2" t="s">
        <v>99</v>
      </c>
      <c r="L150" s="2" t="s">
        <v>73</v>
      </c>
      <c r="M150" s="2">
        <v>3</v>
      </c>
      <c r="N150" s="3">
        <v>750000</v>
      </c>
      <c r="O150" s="3">
        <v>755211.27</v>
      </c>
      <c r="P150" s="4">
        <v>12.5</v>
      </c>
      <c r="Q150" s="2">
        <v>0</v>
      </c>
      <c r="R150" s="3">
        <v>2265633.81</v>
      </c>
      <c r="S150" s="3">
        <v>283204.23</v>
      </c>
      <c r="T150" s="3">
        <v>1982429.58</v>
      </c>
      <c r="U150" t="str">
        <f t="shared" si="2"/>
        <v>Not achive</v>
      </c>
    </row>
    <row r="151" spans="1:21" x14ac:dyDescent="0.3">
      <c r="A151" s="2">
        <v>800011</v>
      </c>
      <c r="B151" s="10">
        <v>45474</v>
      </c>
      <c r="C151" s="2" t="s">
        <v>38</v>
      </c>
      <c r="D151" s="2" t="s">
        <v>118</v>
      </c>
      <c r="E151" s="2" t="s">
        <v>119</v>
      </c>
      <c r="F151" s="2" t="s">
        <v>65</v>
      </c>
      <c r="G151" s="2" t="s">
        <v>72</v>
      </c>
      <c r="H151" s="2" t="s">
        <v>25</v>
      </c>
      <c r="I151" s="2" t="s">
        <v>26</v>
      </c>
      <c r="J151" s="2" t="s">
        <v>57</v>
      </c>
      <c r="K151" s="2" t="s">
        <v>103</v>
      </c>
      <c r="L151" s="2" t="s">
        <v>29</v>
      </c>
      <c r="M151" s="2">
        <v>3</v>
      </c>
      <c r="N151" s="3">
        <v>800000</v>
      </c>
      <c r="O151" s="3">
        <v>811034.12</v>
      </c>
      <c r="P151" s="4">
        <v>5</v>
      </c>
      <c r="Q151" s="2">
        <v>0</v>
      </c>
      <c r="R151" s="3">
        <v>2433102.36</v>
      </c>
      <c r="S151" s="3">
        <v>121655.12</v>
      </c>
      <c r="T151" s="3">
        <v>2311447.2400000002</v>
      </c>
      <c r="U151" t="str">
        <f t="shared" si="2"/>
        <v>Achive</v>
      </c>
    </row>
    <row r="152" spans="1:21" x14ac:dyDescent="0.3">
      <c r="A152" s="2">
        <v>800509</v>
      </c>
      <c r="B152" s="10">
        <v>45474</v>
      </c>
      <c r="C152" s="2" t="s">
        <v>20</v>
      </c>
      <c r="D152" s="2" t="s">
        <v>74</v>
      </c>
      <c r="E152" s="2" t="s">
        <v>75</v>
      </c>
      <c r="F152" s="2" t="s">
        <v>65</v>
      </c>
      <c r="G152" s="2" t="s">
        <v>47</v>
      </c>
      <c r="H152" s="2" t="s">
        <v>25</v>
      </c>
      <c r="I152" s="2" t="s">
        <v>26</v>
      </c>
      <c r="J152" s="2" t="s">
        <v>57</v>
      </c>
      <c r="K152" s="2" t="s">
        <v>103</v>
      </c>
      <c r="L152" s="2" t="s">
        <v>50</v>
      </c>
      <c r="M152" s="2">
        <v>2</v>
      </c>
      <c r="N152" s="3">
        <v>800000</v>
      </c>
      <c r="O152" s="3">
        <v>815176.88</v>
      </c>
      <c r="P152" s="4">
        <v>2</v>
      </c>
      <c r="Q152" s="2">
        <v>0</v>
      </c>
      <c r="R152" s="3">
        <v>1630353.76</v>
      </c>
      <c r="S152" s="3">
        <v>32607.08</v>
      </c>
      <c r="T152" s="3">
        <v>1597746.68</v>
      </c>
      <c r="U152" t="str">
        <f t="shared" si="2"/>
        <v>Not achive</v>
      </c>
    </row>
    <row r="153" spans="1:21" x14ac:dyDescent="0.3">
      <c r="A153" s="2">
        <v>800458</v>
      </c>
      <c r="B153" s="10">
        <v>45475</v>
      </c>
      <c r="C153" s="2" t="s">
        <v>69</v>
      </c>
      <c r="D153" s="2" t="s">
        <v>95</v>
      </c>
      <c r="E153" s="2" t="s">
        <v>131</v>
      </c>
      <c r="F153" s="2" t="s">
        <v>46</v>
      </c>
      <c r="G153" s="2" t="s">
        <v>33</v>
      </c>
      <c r="H153" s="2" t="s">
        <v>25</v>
      </c>
      <c r="I153" s="2" t="s">
        <v>26</v>
      </c>
      <c r="J153" s="2" t="s">
        <v>127</v>
      </c>
      <c r="K153" s="2" t="s">
        <v>130</v>
      </c>
      <c r="L153" s="2" t="s">
        <v>78</v>
      </c>
      <c r="M153" s="2">
        <v>2</v>
      </c>
      <c r="N153" s="3">
        <v>650000</v>
      </c>
      <c r="O153" s="3">
        <v>654230.26</v>
      </c>
      <c r="P153" s="4">
        <v>12.5</v>
      </c>
      <c r="Q153" s="2">
        <v>0</v>
      </c>
      <c r="R153" s="3">
        <v>1308460.52</v>
      </c>
      <c r="S153" s="3">
        <v>163557.57</v>
      </c>
      <c r="T153" s="3">
        <v>1144902.95</v>
      </c>
      <c r="U153" t="str">
        <f t="shared" si="2"/>
        <v>Not achive</v>
      </c>
    </row>
    <row r="154" spans="1:21" x14ac:dyDescent="0.3">
      <c r="A154" s="2">
        <v>800465</v>
      </c>
      <c r="B154" s="10">
        <v>45475</v>
      </c>
      <c r="C154" s="2" t="s">
        <v>38</v>
      </c>
      <c r="D154" s="2" t="s">
        <v>63</v>
      </c>
      <c r="E154" s="2" t="s">
        <v>64</v>
      </c>
      <c r="F154" s="2" t="s">
        <v>65</v>
      </c>
      <c r="G154" s="2" t="s">
        <v>94</v>
      </c>
      <c r="H154" s="2" t="s">
        <v>25</v>
      </c>
      <c r="I154" s="2" t="s">
        <v>67</v>
      </c>
      <c r="J154" s="2" t="s">
        <v>112</v>
      </c>
      <c r="K154" s="2" t="s">
        <v>99</v>
      </c>
      <c r="L154" s="2" t="s">
        <v>73</v>
      </c>
      <c r="M154" s="2">
        <v>3</v>
      </c>
      <c r="N154" s="3">
        <v>1250000</v>
      </c>
      <c r="O154" s="3">
        <v>1247664.6499999999</v>
      </c>
      <c r="P154" s="4">
        <v>12.5</v>
      </c>
      <c r="Q154" s="2">
        <v>0</v>
      </c>
      <c r="R154" s="3">
        <v>3742993.95</v>
      </c>
      <c r="S154" s="3">
        <v>467874.24</v>
      </c>
      <c r="T154" s="3">
        <v>3275119.71</v>
      </c>
      <c r="U154" t="str">
        <f t="shared" si="2"/>
        <v>Achive</v>
      </c>
    </row>
    <row r="155" spans="1:21" x14ac:dyDescent="0.3">
      <c r="A155" s="2">
        <v>800547</v>
      </c>
      <c r="B155" s="10">
        <v>45477</v>
      </c>
      <c r="C155" s="2" t="s">
        <v>69</v>
      </c>
      <c r="D155" s="2" t="s">
        <v>95</v>
      </c>
      <c r="E155" s="2" t="s">
        <v>96</v>
      </c>
      <c r="F155" s="2" t="s">
        <v>46</v>
      </c>
      <c r="G155" s="2" t="s">
        <v>100</v>
      </c>
      <c r="H155" s="2" t="s">
        <v>25</v>
      </c>
      <c r="I155" s="2" t="s">
        <v>26</v>
      </c>
      <c r="J155" s="2" t="s">
        <v>76</v>
      </c>
      <c r="K155" s="2" t="s">
        <v>77</v>
      </c>
      <c r="L155" s="2" t="s">
        <v>29</v>
      </c>
      <c r="M155" s="2">
        <v>2</v>
      </c>
      <c r="N155" s="3">
        <v>700000</v>
      </c>
      <c r="O155" s="3">
        <v>699108.38</v>
      </c>
      <c r="P155" s="4">
        <v>12.5</v>
      </c>
      <c r="Q155" s="2">
        <v>0</v>
      </c>
      <c r="R155" s="3">
        <v>1398216.76</v>
      </c>
      <c r="S155" s="3">
        <v>174777.1</v>
      </c>
      <c r="T155" s="3">
        <v>1223439.6599999999</v>
      </c>
      <c r="U155" t="str">
        <f t="shared" si="2"/>
        <v>Not achive</v>
      </c>
    </row>
    <row r="156" spans="1:21" x14ac:dyDescent="0.3">
      <c r="A156" s="2">
        <v>800366</v>
      </c>
      <c r="B156" s="10">
        <v>45478</v>
      </c>
      <c r="C156" s="2" t="s">
        <v>38</v>
      </c>
      <c r="D156" s="2" t="s">
        <v>63</v>
      </c>
      <c r="E156" s="2" t="s">
        <v>64</v>
      </c>
      <c r="F156" s="2" t="s">
        <v>32</v>
      </c>
      <c r="G156" s="2" t="s">
        <v>116</v>
      </c>
      <c r="H156" s="2" t="s">
        <v>25</v>
      </c>
      <c r="I156" s="2" t="s">
        <v>67</v>
      </c>
      <c r="J156" s="2" t="s">
        <v>108</v>
      </c>
      <c r="K156" s="2" t="s">
        <v>89</v>
      </c>
      <c r="L156" s="2" t="s">
        <v>37</v>
      </c>
      <c r="M156" s="2">
        <v>1</v>
      </c>
      <c r="N156" s="3">
        <v>1800000</v>
      </c>
      <c r="O156" s="3">
        <v>1766699.17</v>
      </c>
      <c r="P156" s="4">
        <v>5</v>
      </c>
      <c r="Q156" s="2">
        <v>0</v>
      </c>
      <c r="R156" s="3">
        <v>1766699.17</v>
      </c>
      <c r="S156" s="3">
        <v>88334.96</v>
      </c>
      <c r="T156" s="3">
        <v>1678364.21</v>
      </c>
      <c r="U156" t="str">
        <f t="shared" si="2"/>
        <v>Not achive</v>
      </c>
    </row>
    <row r="157" spans="1:21" x14ac:dyDescent="0.3">
      <c r="A157" s="2">
        <v>800629</v>
      </c>
      <c r="B157" s="10">
        <v>45478</v>
      </c>
      <c r="C157" s="2" t="s">
        <v>51</v>
      </c>
      <c r="D157" s="2" t="s">
        <v>106</v>
      </c>
      <c r="E157" s="2" t="s">
        <v>107</v>
      </c>
      <c r="F157" s="2" t="s">
        <v>65</v>
      </c>
      <c r="G157" s="2" t="s">
        <v>24</v>
      </c>
      <c r="H157" s="2" t="s">
        <v>25</v>
      </c>
      <c r="I157" s="2" t="s">
        <v>67</v>
      </c>
      <c r="J157" s="2" t="s">
        <v>112</v>
      </c>
      <c r="K157" s="2" t="s">
        <v>99</v>
      </c>
      <c r="L157" s="2" t="s">
        <v>37</v>
      </c>
      <c r="M157" s="2">
        <v>3</v>
      </c>
      <c r="N157" s="3">
        <v>1250000</v>
      </c>
      <c r="O157" s="3">
        <v>1262989.6299999999</v>
      </c>
      <c r="P157" s="4">
        <v>7.5</v>
      </c>
      <c r="Q157" s="2">
        <v>0</v>
      </c>
      <c r="R157" s="3">
        <v>3788968.89</v>
      </c>
      <c r="S157" s="3">
        <v>284172.67</v>
      </c>
      <c r="T157" s="3">
        <v>3504796.22</v>
      </c>
      <c r="U157" t="str">
        <f t="shared" si="2"/>
        <v>Achive</v>
      </c>
    </row>
    <row r="158" spans="1:21" x14ac:dyDescent="0.3">
      <c r="A158" s="2">
        <v>800406</v>
      </c>
      <c r="B158" s="10">
        <v>45479</v>
      </c>
      <c r="C158" s="2" t="s">
        <v>51</v>
      </c>
      <c r="D158" s="2" t="s">
        <v>110</v>
      </c>
      <c r="E158" s="2" t="s">
        <v>124</v>
      </c>
      <c r="F158" s="2" t="s">
        <v>65</v>
      </c>
      <c r="G158" s="2" t="s">
        <v>116</v>
      </c>
      <c r="H158" s="2" t="s">
        <v>25</v>
      </c>
      <c r="I158" s="2" t="s">
        <v>34</v>
      </c>
      <c r="J158" s="2" t="s">
        <v>35</v>
      </c>
      <c r="K158" s="2" t="s">
        <v>36</v>
      </c>
      <c r="L158" s="2" t="s">
        <v>78</v>
      </c>
      <c r="M158" s="2">
        <v>5</v>
      </c>
      <c r="N158" s="3">
        <v>550000</v>
      </c>
      <c r="O158" s="3">
        <v>539858.42000000004</v>
      </c>
      <c r="P158" s="4">
        <v>0</v>
      </c>
      <c r="Q158" s="2">
        <v>0</v>
      </c>
      <c r="R158" s="3">
        <v>2699292.1</v>
      </c>
      <c r="S158" s="3">
        <v>0</v>
      </c>
      <c r="T158" s="3">
        <v>2699292.1</v>
      </c>
      <c r="U158" t="str">
        <f t="shared" si="2"/>
        <v>Achive</v>
      </c>
    </row>
    <row r="159" spans="1:21" x14ac:dyDescent="0.3">
      <c r="A159" s="2">
        <v>800609</v>
      </c>
      <c r="B159" s="10">
        <v>45479</v>
      </c>
      <c r="C159" s="2" t="s">
        <v>38</v>
      </c>
      <c r="D159" s="2" t="s">
        <v>118</v>
      </c>
      <c r="E159" s="2" t="s">
        <v>125</v>
      </c>
      <c r="F159" s="2" t="s">
        <v>23</v>
      </c>
      <c r="G159" s="2" t="s">
        <v>100</v>
      </c>
      <c r="H159" s="2" t="s">
        <v>25</v>
      </c>
      <c r="I159" s="2" t="s">
        <v>67</v>
      </c>
      <c r="J159" s="2" t="s">
        <v>85</v>
      </c>
      <c r="K159" s="2" t="s">
        <v>89</v>
      </c>
      <c r="L159" s="2" t="s">
        <v>92</v>
      </c>
      <c r="M159" s="2">
        <v>1</v>
      </c>
      <c r="N159" s="3">
        <v>1500000</v>
      </c>
      <c r="O159" s="3">
        <v>1529640.56</v>
      </c>
      <c r="P159" s="4">
        <v>5</v>
      </c>
      <c r="Q159" s="2">
        <v>0</v>
      </c>
      <c r="R159" s="3">
        <v>1529640.56</v>
      </c>
      <c r="S159" s="3">
        <v>76482.03</v>
      </c>
      <c r="T159" s="3">
        <v>1453158.53</v>
      </c>
      <c r="U159" t="str">
        <f t="shared" si="2"/>
        <v>Not achive</v>
      </c>
    </row>
    <row r="160" spans="1:21" x14ac:dyDescent="0.3">
      <c r="A160" s="2">
        <v>800017</v>
      </c>
      <c r="B160" s="10">
        <v>45480</v>
      </c>
      <c r="C160" s="2" t="s">
        <v>69</v>
      </c>
      <c r="D160" s="2" t="s">
        <v>70</v>
      </c>
      <c r="E160" s="2" t="s">
        <v>136</v>
      </c>
      <c r="F160" s="2" t="s">
        <v>23</v>
      </c>
      <c r="G160" s="2" t="s">
        <v>90</v>
      </c>
      <c r="H160" s="2" t="s">
        <v>25</v>
      </c>
      <c r="I160" s="2" t="s">
        <v>67</v>
      </c>
      <c r="J160" s="2" t="s">
        <v>108</v>
      </c>
      <c r="K160" s="2" t="s">
        <v>89</v>
      </c>
      <c r="L160" s="2" t="s">
        <v>92</v>
      </c>
      <c r="M160" s="2">
        <v>3</v>
      </c>
      <c r="N160" s="3">
        <v>1800000</v>
      </c>
      <c r="O160" s="3">
        <v>1788540.39</v>
      </c>
      <c r="P160" s="4">
        <v>12.5</v>
      </c>
      <c r="Q160" s="2">
        <v>0</v>
      </c>
      <c r="R160" s="3">
        <v>5365621.17</v>
      </c>
      <c r="S160" s="3">
        <v>670702.65</v>
      </c>
      <c r="T160" s="3">
        <v>4694918.5199999996</v>
      </c>
      <c r="U160" t="str">
        <f t="shared" si="2"/>
        <v>Achive</v>
      </c>
    </row>
    <row r="161" spans="1:21" x14ac:dyDescent="0.3">
      <c r="A161" s="2">
        <v>800190</v>
      </c>
      <c r="B161" s="10">
        <v>45480</v>
      </c>
      <c r="C161" s="2" t="s">
        <v>69</v>
      </c>
      <c r="D161" s="2" t="s">
        <v>70</v>
      </c>
      <c r="E161" s="2" t="s">
        <v>71</v>
      </c>
      <c r="F161" s="2" t="s">
        <v>65</v>
      </c>
      <c r="G161" s="2" t="s">
        <v>90</v>
      </c>
      <c r="H161" s="2" t="s">
        <v>25</v>
      </c>
      <c r="I161" s="2" t="s">
        <v>26</v>
      </c>
      <c r="J161" s="2" t="s">
        <v>105</v>
      </c>
      <c r="K161" s="2" t="s">
        <v>82</v>
      </c>
      <c r="L161" s="2" t="s">
        <v>50</v>
      </c>
      <c r="M161" s="2">
        <v>2</v>
      </c>
      <c r="N161" s="3">
        <v>950000</v>
      </c>
      <c r="O161" s="3">
        <v>961738.84</v>
      </c>
      <c r="P161" s="4">
        <v>0</v>
      </c>
      <c r="Q161" s="2">
        <v>0</v>
      </c>
      <c r="R161" s="3">
        <v>1923477.68</v>
      </c>
      <c r="S161" s="3">
        <v>0</v>
      </c>
      <c r="T161" s="3">
        <v>1923477.68</v>
      </c>
      <c r="U161" t="str">
        <f t="shared" si="2"/>
        <v>Not achive</v>
      </c>
    </row>
    <row r="162" spans="1:21" x14ac:dyDescent="0.3">
      <c r="A162" s="2">
        <v>800331</v>
      </c>
      <c r="B162" s="10">
        <v>45480</v>
      </c>
      <c r="C162" s="2" t="s">
        <v>20</v>
      </c>
      <c r="D162" s="2" t="s">
        <v>21</v>
      </c>
      <c r="E162" s="2" t="s">
        <v>22</v>
      </c>
      <c r="F162" s="2" t="s">
        <v>41</v>
      </c>
      <c r="G162" s="2" t="s">
        <v>47</v>
      </c>
      <c r="H162" s="2" t="s">
        <v>25</v>
      </c>
      <c r="I162" s="2" t="s">
        <v>67</v>
      </c>
      <c r="J162" s="2" t="s">
        <v>112</v>
      </c>
      <c r="K162" s="2" t="s">
        <v>58</v>
      </c>
      <c r="L162" s="2" t="s">
        <v>122</v>
      </c>
      <c r="M162" s="2">
        <v>1</v>
      </c>
      <c r="N162" s="3">
        <v>1250000</v>
      </c>
      <c r="O162" s="3">
        <v>1270638.52</v>
      </c>
      <c r="P162" s="4">
        <v>10</v>
      </c>
      <c r="Q162" s="2">
        <v>0</v>
      </c>
      <c r="R162" s="3">
        <v>1270638.52</v>
      </c>
      <c r="S162" s="3">
        <v>127063.85</v>
      </c>
      <c r="T162" s="3">
        <v>1143574.67</v>
      </c>
      <c r="U162" t="str">
        <f t="shared" si="2"/>
        <v>Not achive</v>
      </c>
    </row>
    <row r="163" spans="1:21" x14ac:dyDescent="0.3">
      <c r="A163" s="2">
        <v>800424</v>
      </c>
      <c r="B163" s="10">
        <v>45480</v>
      </c>
      <c r="C163" s="2" t="s">
        <v>51</v>
      </c>
      <c r="D163" s="2" t="s">
        <v>55</v>
      </c>
      <c r="E163" s="2" t="s">
        <v>56</v>
      </c>
      <c r="F163" s="2" t="s">
        <v>41</v>
      </c>
      <c r="G163" s="2" t="s">
        <v>47</v>
      </c>
      <c r="H163" s="2" t="s">
        <v>25</v>
      </c>
      <c r="I163" s="2" t="s">
        <v>26</v>
      </c>
      <c r="J163" s="2" t="s">
        <v>27</v>
      </c>
      <c r="K163" s="2" t="s">
        <v>58</v>
      </c>
      <c r="L163" s="2" t="s">
        <v>59</v>
      </c>
      <c r="M163" s="2">
        <v>1</v>
      </c>
      <c r="N163" s="3">
        <v>750000</v>
      </c>
      <c r="O163" s="3">
        <v>731295.94</v>
      </c>
      <c r="P163" s="4">
        <v>2</v>
      </c>
      <c r="Q163" s="2">
        <v>0</v>
      </c>
      <c r="R163" s="3">
        <v>731295.94</v>
      </c>
      <c r="S163" s="3">
        <v>14625.92</v>
      </c>
      <c r="T163" s="3">
        <v>716670.02</v>
      </c>
      <c r="U163" t="str">
        <f t="shared" si="2"/>
        <v>Not achive</v>
      </c>
    </row>
    <row r="164" spans="1:21" x14ac:dyDescent="0.3">
      <c r="A164" s="2">
        <v>800608</v>
      </c>
      <c r="B164" s="10">
        <v>45480</v>
      </c>
      <c r="C164" s="2" t="s">
        <v>69</v>
      </c>
      <c r="D164" s="2" t="s">
        <v>83</v>
      </c>
      <c r="E164" s="2" t="s">
        <v>97</v>
      </c>
      <c r="F164" s="2" t="s">
        <v>41</v>
      </c>
      <c r="G164" s="2" t="s">
        <v>33</v>
      </c>
      <c r="H164" s="2" t="s">
        <v>25</v>
      </c>
      <c r="I164" s="2" t="s">
        <v>67</v>
      </c>
      <c r="J164" s="2" t="s">
        <v>108</v>
      </c>
      <c r="K164" s="2" t="s">
        <v>62</v>
      </c>
      <c r="L164" s="2" t="s">
        <v>37</v>
      </c>
      <c r="M164" s="2">
        <v>3</v>
      </c>
      <c r="N164" s="3">
        <v>1800000</v>
      </c>
      <c r="O164" s="3">
        <v>1790473.41</v>
      </c>
      <c r="P164" s="4">
        <v>2</v>
      </c>
      <c r="Q164" s="2">
        <v>0</v>
      </c>
      <c r="R164" s="3">
        <v>5371420.2300000004</v>
      </c>
      <c r="S164" s="3">
        <v>107428.4</v>
      </c>
      <c r="T164" s="3">
        <v>5263991.83</v>
      </c>
      <c r="U164" t="str">
        <f t="shared" si="2"/>
        <v>Achive</v>
      </c>
    </row>
    <row r="165" spans="1:21" x14ac:dyDescent="0.3">
      <c r="A165" s="2">
        <v>800036</v>
      </c>
      <c r="B165" s="10">
        <v>45481</v>
      </c>
      <c r="C165" s="2" t="s">
        <v>38</v>
      </c>
      <c r="D165" s="2" t="s">
        <v>118</v>
      </c>
      <c r="E165" s="2" t="s">
        <v>119</v>
      </c>
      <c r="F165" s="2" t="s">
        <v>65</v>
      </c>
      <c r="G165" s="2" t="s">
        <v>94</v>
      </c>
      <c r="H165" s="2" t="s">
        <v>25</v>
      </c>
      <c r="I165" s="2" t="s">
        <v>67</v>
      </c>
      <c r="J165" s="2" t="s">
        <v>68</v>
      </c>
      <c r="K165" s="2" t="s">
        <v>91</v>
      </c>
      <c r="L165" s="2" t="s">
        <v>87</v>
      </c>
      <c r="M165" s="2">
        <v>2</v>
      </c>
      <c r="N165" s="3">
        <v>1200000</v>
      </c>
      <c r="O165" s="3">
        <v>1188144.02</v>
      </c>
      <c r="P165" s="4">
        <v>5</v>
      </c>
      <c r="Q165" s="2">
        <v>0</v>
      </c>
      <c r="R165" s="3">
        <v>2376288.04</v>
      </c>
      <c r="S165" s="3">
        <v>118814.39999999999</v>
      </c>
      <c r="T165" s="3">
        <v>2257473.64</v>
      </c>
      <c r="U165" t="str">
        <f t="shared" si="2"/>
        <v>Achive</v>
      </c>
    </row>
    <row r="166" spans="1:21" x14ac:dyDescent="0.3">
      <c r="A166" s="2">
        <v>800340</v>
      </c>
      <c r="B166" s="10">
        <v>45482</v>
      </c>
      <c r="C166" s="2" t="s">
        <v>51</v>
      </c>
      <c r="D166" s="2" t="s">
        <v>55</v>
      </c>
      <c r="E166" s="2" t="s">
        <v>60</v>
      </c>
      <c r="F166" s="2" t="s">
        <v>32</v>
      </c>
      <c r="G166" s="2" t="s">
        <v>66</v>
      </c>
      <c r="H166" s="2" t="s">
        <v>25</v>
      </c>
      <c r="I166" s="2" t="s">
        <v>43</v>
      </c>
      <c r="J166" s="2" t="s">
        <v>44</v>
      </c>
      <c r="K166" s="2" t="s">
        <v>45</v>
      </c>
      <c r="L166" s="2" t="s">
        <v>123</v>
      </c>
      <c r="M166" s="2">
        <v>5</v>
      </c>
      <c r="N166" s="3">
        <v>800000</v>
      </c>
      <c r="O166" s="3">
        <v>797864.61</v>
      </c>
      <c r="P166" s="4">
        <v>2</v>
      </c>
      <c r="Q166" s="2">
        <v>0</v>
      </c>
      <c r="R166" s="3">
        <v>3989323.05</v>
      </c>
      <c r="S166" s="3">
        <v>79786.460000000006</v>
      </c>
      <c r="T166" s="3">
        <v>3909536.59</v>
      </c>
      <c r="U166" t="str">
        <f t="shared" si="2"/>
        <v>Achive</v>
      </c>
    </row>
    <row r="167" spans="1:21" x14ac:dyDescent="0.3">
      <c r="A167" s="2">
        <v>800468</v>
      </c>
      <c r="B167" s="10">
        <v>45482</v>
      </c>
      <c r="C167" s="2" t="s">
        <v>38</v>
      </c>
      <c r="D167" s="2" t="s">
        <v>118</v>
      </c>
      <c r="E167" s="2" t="s">
        <v>125</v>
      </c>
      <c r="F167" s="2" t="s">
        <v>41</v>
      </c>
      <c r="G167" s="2" t="s">
        <v>61</v>
      </c>
      <c r="H167" s="2" t="s">
        <v>25</v>
      </c>
      <c r="I167" s="2" t="s">
        <v>26</v>
      </c>
      <c r="J167" s="2" t="s">
        <v>81</v>
      </c>
      <c r="K167" s="2" t="s">
        <v>77</v>
      </c>
      <c r="L167" s="2" t="s">
        <v>123</v>
      </c>
      <c r="M167" s="2">
        <v>2</v>
      </c>
      <c r="N167" s="3">
        <v>1700000</v>
      </c>
      <c r="O167" s="3">
        <v>1710573.71</v>
      </c>
      <c r="P167" s="4">
        <v>0</v>
      </c>
      <c r="Q167" s="2">
        <v>0</v>
      </c>
      <c r="R167" s="3">
        <v>3421147.42</v>
      </c>
      <c r="S167" s="3">
        <v>0</v>
      </c>
      <c r="T167" s="3">
        <v>3421147.42</v>
      </c>
      <c r="U167" t="str">
        <f t="shared" si="2"/>
        <v>Achive</v>
      </c>
    </row>
    <row r="168" spans="1:21" x14ac:dyDescent="0.3">
      <c r="A168" s="2">
        <v>800222</v>
      </c>
      <c r="B168" s="10">
        <v>45483</v>
      </c>
      <c r="C168" s="2" t="s">
        <v>20</v>
      </c>
      <c r="D168" s="2" t="s">
        <v>21</v>
      </c>
      <c r="E168" s="2" t="s">
        <v>98</v>
      </c>
      <c r="F168" s="2" t="s">
        <v>46</v>
      </c>
      <c r="G168" s="2" t="s">
        <v>47</v>
      </c>
      <c r="H168" s="2" t="s">
        <v>25</v>
      </c>
      <c r="I168" s="2" t="s">
        <v>34</v>
      </c>
      <c r="J168" s="2" t="s">
        <v>35</v>
      </c>
      <c r="K168" s="2" t="s">
        <v>45</v>
      </c>
      <c r="L168" s="2" t="s">
        <v>92</v>
      </c>
      <c r="M168" s="2">
        <v>1</v>
      </c>
      <c r="N168" s="3">
        <v>550000</v>
      </c>
      <c r="O168" s="3">
        <v>555486.31000000006</v>
      </c>
      <c r="P168" s="4">
        <v>0</v>
      </c>
      <c r="Q168" s="2">
        <v>0</v>
      </c>
      <c r="R168" s="3">
        <v>555486.31000000006</v>
      </c>
      <c r="S168" s="3">
        <v>0</v>
      </c>
      <c r="T168" s="3">
        <v>555486.31000000006</v>
      </c>
      <c r="U168" t="str">
        <f t="shared" si="2"/>
        <v>Not achive</v>
      </c>
    </row>
    <row r="169" spans="1:21" x14ac:dyDescent="0.3">
      <c r="A169" s="2">
        <v>800575</v>
      </c>
      <c r="B169" s="10">
        <v>45484</v>
      </c>
      <c r="C169" s="2" t="s">
        <v>51</v>
      </c>
      <c r="D169" s="2" t="s">
        <v>106</v>
      </c>
      <c r="E169" s="2" t="s">
        <v>128</v>
      </c>
      <c r="F169" s="2" t="s">
        <v>23</v>
      </c>
      <c r="G169" s="2" t="s">
        <v>72</v>
      </c>
      <c r="H169" s="2" t="s">
        <v>25</v>
      </c>
      <c r="I169" s="2" t="s">
        <v>26</v>
      </c>
      <c r="J169" s="2" t="s">
        <v>120</v>
      </c>
      <c r="K169" s="2" t="s">
        <v>121</v>
      </c>
      <c r="L169" s="2" t="s">
        <v>50</v>
      </c>
      <c r="M169" s="2">
        <v>3</v>
      </c>
      <c r="N169" s="3">
        <v>1900000</v>
      </c>
      <c r="O169" s="3">
        <v>1930902.58</v>
      </c>
      <c r="P169" s="4">
        <v>0</v>
      </c>
      <c r="Q169" s="2">
        <v>0</v>
      </c>
      <c r="R169" s="3">
        <v>5792707.7400000002</v>
      </c>
      <c r="S169" s="3">
        <v>0</v>
      </c>
      <c r="T169" s="3">
        <v>5792707.7400000002</v>
      </c>
      <c r="U169" t="str">
        <f t="shared" si="2"/>
        <v>Achive</v>
      </c>
    </row>
    <row r="170" spans="1:21" x14ac:dyDescent="0.3">
      <c r="A170" s="2">
        <v>800605</v>
      </c>
      <c r="B170" s="10">
        <v>45484</v>
      </c>
      <c r="C170" s="2" t="s">
        <v>69</v>
      </c>
      <c r="D170" s="2" t="s">
        <v>83</v>
      </c>
      <c r="E170" s="2" t="s">
        <v>84</v>
      </c>
      <c r="F170" s="2" t="s">
        <v>65</v>
      </c>
      <c r="G170" s="2" t="s">
        <v>66</v>
      </c>
      <c r="H170" s="2" t="s">
        <v>25</v>
      </c>
      <c r="I170" s="2" t="s">
        <v>26</v>
      </c>
      <c r="J170" s="2" t="s">
        <v>48</v>
      </c>
      <c r="K170" s="2" t="s">
        <v>62</v>
      </c>
      <c r="L170" s="2" t="s">
        <v>73</v>
      </c>
      <c r="M170" s="2">
        <v>2</v>
      </c>
      <c r="N170" s="3">
        <v>1200000</v>
      </c>
      <c r="O170" s="3">
        <v>1174408.74</v>
      </c>
      <c r="P170" s="4">
        <v>7.5</v>
      </c>
      <c r="Q170" s="2">
        <v>0</v>
      </c>
      <c r="R170" s="3">
        <v>2348817.48</v>
      </c>
      <c r="S170" s="3">
        <v>176161.31</v>
      </c>
      <c r="T170" s="3">
        <v>2172656.17</v>
      </c>
      <c r="U170" t="str">
        <f t="shared" si="2"/>
        <v>Achive</v>
      </c>
    </row>
    <row r="171" spans="1:21" x14ac:dyDescent="0.3">
      <c r="A171" s="2">
        <v>800387</v>
      </c>
      <c r="B171" s="10">
        <v>45485</v>
      </c>
      <c r="C171" s="2" t="s">
        <v>51</v>
      </c>
      <c r="D171" s="2" t="s">
        <v>52</v>
      </c>
      <c r="E171" s="2" t="s">
        <v>132</v>
      </c>
      <c r="F171" s="2" t="s">
        <v>65</v>
      </c>
      <c r="G171" s="2" t="s">
        <v>24</v>
      </c>
      <c r="H171" s="2" t="s">
        <v>25</v>
      </c>
      <c r="I171" s="2" t="s">
        <v>26</v>
      </c>
      <c r="J171" s="2" t="s">
        <v>76</v>
      </c>
      <c r="K171" s="2" t="s">
        <v>115</v>
      </c>
      <c r="L171" s="2" t="s">
        <v>78</v>
      </c>
      <c r="M171" s="2">
        <v>1</v>
      </c>
      <c r="N171" s="3">
        <v>700000</v>
      </c>
      <c r="O171" s="3">
        <v>712149.13</v>
      </c>
      <c r="P171" s="4">
        <v>2</v>
      </c>
      <c r="Q171" s="2">
        <v>0</v>
      </c>
      <c r="R171" s="3">
        <v>712149.13</v>
      </c>
      <c r="S171" s="3">
        <v>14242.98</v>
      </c>
      <c r="T171" s="3">
        <v>697906.15</v>
      </c>
      <c r="U171" t="str">
        <f t="shared" si="2"/>
        <v>Not achive</v>
      </c>
    </row>
    <row r="172" spans="1:21" x14ac:dyDescent="0.3">
      <c r="A172" s="2">
        <v>800027</v>
      </c>
      <c r="B172" s="10">
        <v>45487</v>
      </c>
      <c r="C172" s="2" t="s">
        <v>51</v>
      </c>
      <c r="D172" s="2" t="s">
        <v>55</v>
      </c>
      <c r="E172" s="2" t="s">
        <v>56</v>
      </c>
      <c r="F172" s="2" t="s">
        <v>46</v>
      </c>
      <c r="G172" s="2" t="s">
        <v>47</v>
      </c>
      <c r="H172" s="2" t="s">
        <v>25</v>
      </c>
      <c r="I172" s="2" t="s">
        <v>26</v>
      </c>
      <c r="J172" s="2" t="s">
        <v>27</v>
      </c>
      <c r="K172" s="2" t="s">
        <v>58</v>
      </c>
      <c r="L172" s="2" t="s">
        <v>59</v>
      </c>
      <c r="M172" s="2">
        <v>1</v>
      </c>
      <c r="N172" s="3">
        <v>750000</v>
      </c>
      <c r="O172" s="3">
        <v>737713.06</v>
      </c>
      <c r="P172" s="4">
        <v>2</v>
      </c>
      <c r="Q172" s="2">
        <v>0</v>
      </c>
      <c r="R172" s="3">
        <v>737713.06</v>
      </c>
      <c r="S172" s="3">
        <v>14754.26</v>
      </c>
      <c r="T172" s="3">
        <v>722958.8</v>
      </c>
      <c r="U172" t="str">
        <f t="shared" si="2"/>
        <v>Not achive</v>
      </c>
    </row>
    <row r="173" spans="1:21" x14ac:dyDescent="0.3">
      <c r="A173" s="2">
        <v>800539</v>
      </c>
      <c r="B173" s="10">
        <v>45487</v>
      </c>
      <c r="C173" s="2" t="s">
        <v>20</v>
      </c>
      <c r="D173" s="2" t="s">
        <v>74</v>
      </c>
      <c r="E173" s="2" t="s">
        <v>113</v>
      </c>
      <c r="F173" s="2" t="s">
        <v>32</v>
      </c>
      <c r="G173" s="2" t="s">
        <v>116</v>
      </c>
      <c r="H173" s="2" t="s">
        <v>25</v>
      </c>
      <c r="I173" s="2" t="s">
        <v>26</v>
      </c>
      <c r="J173" s="2" t="s">
        <v>105</v>
      </c>
      <c r="K173" s="2" t="s">
        <v>89</v>
      </c>
      <c r="L173" s="2" t="s">
        <v>73</v>
      </c>
      <c r="M173" s="2">
        <v>3</v>
      </c>
      <c r="N173" s="3">
        <v>950000</v>
      </c>
      <c r="O173" s="3">
        <v>948042.55</v>
      </c>
      <c r="P173" s="4">
        <v>0</v>
      </c>
      <c r="Q173" s="2">
        <v>0</v>
      </c>
      <c r="R173" s="3">
        <v>2844127.65</v>
      </c>
      <c r="S173" s="3">
        <v>0</v>
      </c>
      <c r="T173" s="3">
        <v>2844127.65</v>
      </c>
      <c r="U173" t="str">
        <f t="shared" si="2"/>
        <v>Achive</v>
      </c>
    </row>
    <row r="174" spans="1:21" x14ac:dyDescent="0.3">
      <c r="A174" s="2">
        <v>800523</v>
      </c>
      <c r="B174" s="10">
        <v>45488</v>
      </c>
      <c r="C174" s="2" t="s">
        <v>51</v>
      </c>
      <c r="D174" s="2" t="s">
        <v>106</v>
      </c>
      <c r="E174" s="2" t="s">
        <v>128</v>
      </c>
      <c r="F174" s="2" t="s">
        <v>41</v>
      </c>
      <c r="G174" s="2" t="s">
        <v>33</v>
      </c>
      <c r="H174" s="2" t="s">
        <v>25</v>
      </c>
      <c r="I174" s="2" t="s">
        <v>26</v>
      </c>
      <c r="J174" s="2" t="s">
        <v>81</v>
      </c>
      <c r="K174" s="2" t="s">
        <v>82</v>
      </c>
      <c r="L174" s="2" t="s">
        <v>78</v>
      </c>
      <c r="M174" s="2">
        <v>2</v>
      </c>
      <c r="N174" s="3">
        <v>1700000</v>
      </c>
      <c r="O174" s="3">
        <v>1707947.8</v>
      </c>
      <c r="P174" s="4">
        <v>12.5</v>
      </c>
      <c r="Q174" s="2">
        <v>0</v>
      </c>
      <c r="R174" s="3">
        <v>3415895.6</v>
      </c>
      <c r="S174" s="3">
        <v>426986.95</v>
      </c>
      <c r="T174" s="3">
        <v>2988908.65</v>
      </c>
      <c r="U174" t="str">
        <f t="shared" si="2"/>
        <v>Achive</v>
      </c>
    </row>
    <row r="175" spans="1:21" x14ac:dyDescent="0.3">
      <c r="A175" s="2">
        <v>800392</v>
      </c>
      <c r="B175" s="10">
        <v>45490</v>
      </c>
      <c r="C175" s="2" t="s">
        <v>38</v>
      </c>
      <c r="D175" s="2" t="s">
        <v>118</v>
      </c>
      <c r="E175" s="2" t="s">
        <v>119</v>
      </c>
      <c r="F175" s="2" t="s">
        <v>32</v>
      </c>
      <c r="G175" s="2" t="s">
        <v>47</v>
      </c>
      <c r="H175" s="2" t="s">
        <v>25</v>
      </c>
      <c r="I175" s="2" t="s">
        <v>26</v>
      </c>
      <c r="J175" s="2" t="s">
        <v>76</v>
      </c>
      <c r="K175" s="2" t="s">
        <v>117</v>
      </c>
      <c r="L175" s="2" t="s">
        <v>37</v>
      </c>
      <c r="M175" s="2">
        <v>3</v>
      </c>
      <c r="N175" s="3">
        <v>700000</v>
      </c>
      <c r="O175" s="3">
        <v>691008.38</v>
      </c>
      <c r="P175" s="4">
        <v>0</v>
      </c>
      <c r="Q175" s="2">
        <v>0</v>
      </c>
      <c r="R175" s="3">
        <v>2073025.14</v>
      </c>
      <c r="S175" s="3">
        <v>0</v>
      </c>
      <c r="T175" s="3">
        <v>2073025.14</v>
      </c>
      <c r="U175" t="str">
        <f t="shared" si="2"/>
        <v>Achive</v>
      </c>
    </row>
    <row r="176" spans="1:21" x14ac:dyDescent="0.3">
      <c r="A176" s="2">
        <v>800639</v>
      </c>
      <c r="B176" s="10">
        <v>45490</v>
      </c>
      <c r="C176" s="2" t="s">
        <v>20</v>
      </c>
      <c r="D176" s="2" t="s">
        <v>21</v>
      </c>
      <c r="E176" s="2" t="s">
        <v>98</v>
      </c>
      <c r="F176" s="2" t="s">
        <v>46</v>
      </c>
      <c r="G176" s="2" t="s">
        <v>100</v>
      </c>
      <c r="H176" s="2" t="s">
        <v>25</v>
      </c>
      <c r="I176" s="2" t="s">
        <v>67</v>
      </c>
      <c r="J176" s="2" t="s">
        <v>112</v>
      </c>
      <c r="K176" s="2" t="s">
        <v>99</v>
      </c>
      <c r="L176" s="2" t="s">
        <v>50</v>
      </c>
      <c r="M176" s="2">
        <v>2</v>
      </c>
      <c r="N176" s="3">
        <v>1250000</v>
      </c>
      <c r="O176" s="3">
        <v>1271440.92</v>
      </c>
      <c r="P176" s="4">
        <v>12.5</v>
      </c>
      <c r="Q176" s="2">
        <v>0</v>
      </c>
      <c r="R176" s="3">
        <v>2542881.84</v>
      </c>
      <c r="S176" s="3">
        <v>317860.23</v>
      </c>
      <c r="T176" s="3">
        <v>2225021.61</v>
      </c>
      <c r="U176" t="str">
        <f t="shared" si="2"/>
        <v>Achive</v>
      </c>
    </row>
    <row r="177" spans="1:21" x14ac:dyDescent="0.3">
      <c r="A177" s="2">
        <v>800025</v>
      </c>
      <c r="B177" s="10">
        <v>45492</v>
      </c>
      <c r="C177" s="2" t="s">
        <v>69</v>
      </c>
      <c r="D177" s="2" t="s">
        <v>83</v>
      </c>
      <c r="E177" s="2" t="s">
        <v>84</v>
      </c>
      <c r="F177" s="2" t="s">
        <v>23</v>
      </c>
      <c r="G177" s="2" t="s">
        <v>24</v>
      </c>
      <c r="H177" s="2" t="s">
        <v>25</v>
      </c>
      <c r="I177" s="2" t="s">
        <v>43</v>
      </c>
      <c r="J177" s="2" t="s">
        <v>101</v>
      </c>
      <c r="K177" s="2" t="s">
        <v>45</v>
      </c>
      <c r="L177" s="2" t="s">
        <v>29</v>
      </c>
      <c r="M177" s="2">
        <v>4</v>
      </c>
      <c r="N177" s="3">
        <v>1000000</v>
      </c>
      <c r="O177" s="3">
        <v>1001057.96</v>
      </c>
      <c r="P177" s="4">
        <v>0</v>
      </c>
      <c r="Q177" s="2">
        <v>0</v>
      </c>
      <c r="R177" s="3">
        <v>4004231.84</v>
      </c>
      <c r="S177" s="3">
        <v>0</v>
      </c>
      <c r="T177" s="3">
        <v>4004231.84</v>
      </c>
      <c r="U177" t="str">
        <f t="shared" si="2"/>
        <v>Achive</v>
      </c>
    </row>
    <row r="178" spans="1:21" x14ac:dyDescent="0.3">
      <c r="A178" s="2">
        <v>800241</v>
      </c>
      <c r="B178" s="10">
        <v>45492</v>
      </c>
      <c r="C178" s="2" t="s">
        <v>38</v>
      </c>
      <c r="D178" s="2" t="s">
        <v>79</v>
      </c>
      <c r="E178" s="2" t="s">
        <v>80</v>
      </c>
      <c r="F178" s="2" t="s">
        <v>46</v>
      </c>
      <c r="G178" s="2" t="s">
        <v>42</v>
      </c>
      <c r="H178" s="2" t="s">
        <v>25</v>
      </c>
      <c r="I178" s="2" t="s">
        <v>26</v>
      </c>
      <c r="J178" s="2" t="s">
        <v>81</v>
      </c>
      <c r="K178" s="2" t="s">
        <v>49</v>
      </c>
      <c r="L178" s="2" t="s">
        <v>50</v>
      </c>
      <c r="M178" s="2">
        <v>3</v>
      </c>
      <c r="N178" s="3">
        <v>1700000</v>
      </c>
      <c r="O178" s="3">
        <v>1696879.75</v>
      </c>
      <c r="P178" s="4">
        <v>0</v>
      </c>
      <c r="Q178" s="2">
        <v>0</v>
      </c>
      <c r="R178" s="3">
        <v>5090639.25</v>
      </c>
      <c r="S178" s="3">
        <v>0</v>
      </c>
      <c r="T178" s="3">
        <v>5090639.25</v>
      </c>
      <c r="U178" t="str">
        <f t="shared" si="2"/>
        <v>Achive</v>
      </c>
    </row>
    <row r="179" spans="1:21" x14ac:dyDescent="0.3">
      <c r="A179" s="2">
        <v>800347</v>
      </c>
      <c r="B179" s="10">
        <v>45492</v>
      </c>
      <c r="C179" s="2" t="s">
        <v>69</v>
      </c>
      <c r="D179" s="2" t="s">
        <v>70</v>
      </c>
      <c r="E179" s="2" t="s">
        <v>136</v>
      </c>
      <c r="F179" s="2" t="s">
        <v>41</v>
      </c>
      <c r="G179" s="2" t="s">
        <v>61</v>
      </c>
      <c r="H179" s="2" t="s">
        <v>25</v>
      </c>
      <c r="I179" s="2" t="s">
        <v>26</v>
      </c>
      <c r="J179" s="2" t="s">
        <v>57</v>
      </c>
      <c r="K179" s="2" t="s">
        <v>99</v>
      </c>
      <c r="L179" s="2" t="s">
        <v>59</v>
      </c>
      <c r="M179" s="2">
        <v>1</v>
      </c>
      <c r="N179" s="3">
        <v>800000</v>
      </c>
      <c r="O179" s="3">
        <v>801077.32</v>
      </c>
      <c r="P179" s="4">
        <v>2</v>
      </c>
      <c r="Q179" s="2">
        <v>0</v>
      </c>
      <c r="R179" s="3">
        <v>801077.32</v>
      </c>
      <c r="S179" s="3">
        <v>16021.55</v>
      </c>
      <c r="T179" s="3">
        <v>785055.77</v>
      </c>
      <c r="U179" t="str">
        <f t="shared" si="2"/>
        <v>Not achive</v>
      </c>
    </row>
    <row r="180" spans="1:21" x14ac:dyDescent="0.3">
      <c r="A180" s="2">
        <v>800369</v>
      </c>
      <c r="B180" s="10">
        <v>45493</v>
      </c>
      <c r="C180" s="2" t="s">
        <v>51</v>
      </c>
      <c r="D180" s="2" t="s">
        <v>52</v>
      </c>
      <c r="E180" s="2" t="s">
        <v>139</v>
      </c>
      <c r="F180" s="2" t="s">
        <v>46</v>
      </c>
      <c r="G180" s="2" t="s">
        <v>94</v>
      </c>
      <c r="H180" s="2" t="s">
        <v>25</v>
      </c>
      <c r="I180" s="2" t="s">
        <v>67</v>
      </c>
      <c r="J180" s="2" t="s">
        <v>85</v>
      </c>
      <c r="K180" s="2" t="s">
        <v>91</v>
      </c>
      <c r="L180" s="2" t="s">
        <v>92</v>
      </c>
      <c r="M180" s="2">
        <v>3</v>
      </c>
      <c r="N180" s="3">
        <v>1500000</v>
      </c>
      <c r="O180" s="3">
        <v>1456396.5</v>
      </c>
      <c r="P180" s="4">
        <v>5</v>
      </c>
      <c r="Q180" s="2">
        <v>0</v>
      </c>
      <c r="R180" s="3">
        <v>4369189.5</v>
      </c>
      <c r="S180" s="3">
        <v>218459.48</v>
      </c>
      <c r="T180" s="3">
        <v>4150730.02</v>
      </c>
      <c r="U180" t="str">
        <f t="shared" si="2"/>
        <v>Achive</v>
      </c>
    </row>
    <row r="181" spans="1:21" x14ac:dyDescent="0.3">
      <c r="A181" s="2">
        <v>800040</v>
      </c>
      <c r="B181" s="10">
        <v>45495</v>
      </c>
      <c r="C181" s="2" t="s">
        <v>20</v>
      </c>
      <c r="D181" s="2" t="s">
        <v>74</v>
      </c>
      <c r="E181" s="2" t="s">
        <v>75</v>
      </c>
      <c r="F181" s="2" t="s">
        <v>23</v>
      </c>
      <c r="G181" s="2" t="s">
        <v>66</v>
      </c>
      <c r="H181" s="2" t="s">
        <v>25</v>
      </c>
      <c r="I181" s="2" t="s">
        <v>67</v>
      </c>
      <c r="J181" s="2" t="s">
        <v>85</v>
      </c>
      <c r="K181" s="2" t="s">
        <v>89</v>
      </c>
      <c r="L181" s="2" t="s">
        <v>73</v>
      </c>
      <c r="M181" s="2">
        <v>3</v>
      </c>
      <c r="N181" s="3">
        <v>1500000</v>
      </c>
      <c r="O181" s="3">
        <v>1506571.68</v>
      </c>
      <c r="P181" s="4">
        <v>0</v>
      </c>
      <c r="Q181" s="2">
        <v>0</v>
      </c>
      <c r="R181" s="3">
        <v>4519715.04</v>
      </c>
      <c r="S181" s="3">
        <v>0</v>
      </c>
      <c r="T181" s="3">
        <v>4519715.04</v>
      </c>
      <c r="U181" t="str">
        <f t="shared" si="2"/>
        <v>Achive</v>
      </c>
    </row>
    <row r="182" spans="1:21" x14ac:dyDescent="0.3">
      <c r="A182" s="2">
        <v>800227</v>
      </c>
      <c r="B182" s="10">
        <v>45495</v>
      </c>
      <c r="C182" s="2" t="s">
        <v>20</v>
      </c>
      <c r="D182" s="2" t="s">
        <v>74</v>
      </c>
      <c r="E182" s="2" t="s">
        <v>113</v>
      </c>
      <c r="F182" s="2" t="s">
        <v>23</v>
      </c>
      <c r="G182" s="2" t="s">
        <v>33</v>
      </c>
      <c r="H182" s="2" t="s">
        <v>25</v>
      </c>
      <c r="I182" s="2" t="s">
        <v>43</v>
      </c>
      <c r="J182" s="2" t="s">
        <v>44</v>
      </c>
      <c r="K182" s="2" t="s">
        <v>129</v>
      </c>
      <c r="L182" s="2" t="s">
        <v>37</v>
      </c>
      <c r="M182" s="2">
        <v>2</v>
      </c>
      <c r="N182" s="3">
        <v>800000</v>
      </c>
      <c r="O182" s="3">
        <v>779306.83</v>
      </c>
      <c r="P182" s="4">
        <v>0</v>
      </c>
      <c r="Q182" s="2">
        <v>0</v>
      </c>
      <c r="R182" s="3">
        <v>1558613.66</v>
      </c>
      <c r="S182" s="3">
        <v>0</v>
      </c>
      <c r="T182" s="3">
        <v>1558613.66</v>
      </c>
      <c r="U182" t="str">
        <f t="shared" si="2"/>
        <v>Not achive</v>
      </c>
    </row>
    <row r="183" spans="1:21" x14ac:dyDescent="0.3">
      <c r="A183" s="2">
        <v>800270</v>
      </c>
      <c r="B183" s="10">
        <v>45495</v>
      </c>
      <c r="C183" s="2" t="s">
        <v>38</v>
      </c>
      <c r="D183" s="2" t="s">
        <v>79</v>
      </c>
      <c r="E183" s="2" t="s">
        <v>133</v>
      </c>
      <c r="F183" s="2" t="s">
        <v>41</v>
      </c>
      <c r="G183" s="2" t="s">
        <v>90</v>
      </c>
      <c r="H183" s="2" t="s">
        <v>25</v>
      </c>
      <c r="I183" s="2" t="s">
        <v>26</v>
      </c>
      <c r="J183" s="2" t="s">
        <v>81</v>
      </c>
      <c r="K183" s="2" t="s">
        <v>49</v>
      </c>
      <c r="L183" s="2" t="s">
        <v>78</v>
      </c>
      <c r="M183" s="2">
        <v>3</v>
      </c>
      <c r="N183" s="3">
        <v>1700000</v>
      </c>
      <c r="O183" s="3">
        <v>1718384.24</v>
      </c>
      <c r="P183" s="4">
        <v>0</v>
      </c>
      <c r="Q183" s="2">
        <v>0</v>
      </c>
      <c r="R183" s="3">
        <v>5155152.72</v>
      </c>
      <c r="S183" s="3">
        <v>0</v>
      </c>
      <c r="T183" s="3">
        <v>5155152.72</v>
      </c>
      <c r="U183" t="str">
        <f t="shared" si="2"/>
        <v>Achive</v>
      </c>
    </row>
    <row r="184" spans="1:21" x14ac:dyDescent="0.3">
      <c r="A184" s="2">
        <v>800304</v>
      </c>
      <c r="B184" s="10">
        <v>45496</v>
      </c>
      <c r="C184" s="2" t="s">
        <v>20</v>
      </c>
      <c r="D184" s="2" t="s">
        <v>74</v>
      </c>
      <c r="E184" s="2" t="s">
        <v>113</v>
      </c>
      <c r="F184" s="2" t="s">
        <v>23</v>
      </c>
      <c r="G184" s="2" t="s">
        <v>72</v>
      </c>
      <c r="H184" s="2" t="s">
        <v>25</v>
      </c>
      <c r="I184" s="2" t="s">
        <v>67</v>
      </c>
      <c r="J184" s="2" t="s">
        <v>85</v>
      </c>
      <c r="K184" s="2" t="s">
        <v>91</v>
      </c>
      <c r="L184" s="2" t="s">
        <v>29</v>
      </c>
      <c r="M184" s="2">
        <v>3</v>
      </c>
      <c r="N184" s="3">
        <v>1500000</v>
      </c>
      <c r="O184" s="3">
        <v>1508105.17</v>
      </c>
      <c r="P184" s="4">
        <v>2</v>
      </c>
      <c r="Q184" s="2">
        <v>0</v>
      </c>
      <c r="R184" s="3">
        <v>4524315.51</v>
      </c>
      <c r="S184" s="3">
        <v>90486.31</v>
      </c>
      <c r="T184" s="3">
        <v>4433829.2</v>
      </c>
      <c r="U184" t="str">
        <f t="shared" si="2"/>
        <v>Achive</v>
      </c>
    </row>
    <row r="185" spans="1:21" x14ac:dyDescent="0.3">
      <c r="A185" s="2">
        <v>800422</v>
      </c>
      <c r="B185" s="10">
        <v>45496</v>
      </c>
      <c r="C185" s="2" t="s">
        <v>69</v>
      </c>
      <c r="D185" s="2" t="s">
        <v>95</v>
      </c>
      <c r="E185" s="2" t="s">
        <v>135</v>
      </c>
      <c r="F185" s="2" t="s">
        <v>46</v>
      </c>
      <c r="G185" s="2" t="s">
        <v>61</v>
      </c>
      <c r="H185" s="2" t="s">
        <v>25</v>
      </c>
      <c r="I185" s="2" t="s">
        <v>26</v>
      </c>
      <c r="J185" s="2" t="s">
        <v>127</v>
      </c>
      <c r="K185" s="2" t="s">
        <v>99</v>
      </c>
      <c r="L185" s="2" t="s">
        <v>87</v>
      </c>
      <c r="M185" s="2">
        <v>3</v>
      </c>
      <c r="N185" s="3">
        <v>650000</v>
      </c>
      <c r="O185" s="3">
        <v>646422.06000000006</v>
      </c>
      <c r="P185" s="4">
        <v>5</v>
      </c>
      <c r="Q185" s="2">
        <v>1</v>
      </c>
      <c r="R185" s="3">
        <v>1939266.18</v>
      </c>
      <c r="S185" s="3">
        <v>96963.31</v>
      </c>
      <c r="T185" s="3">
        <v>1842302.87</v>
      </c>
      <c r="U185" t="str">
        <f t="shared" si="2"/>
        <v>Not achive</v>
      </c>
    </row>
    <row r="186" spans="1:21" x14ac:dyDescent="0.3">
      <c r="A186" s="2">
        <v>800104</v>
      </c>
      <c r="B186" s="10">
        <v>45497</v>
      </c>
      <c r="C186" s="2" t="s">
        <v>38</v>
      </c>
      <c r="D186" s="2" t="s">
        <v>63</v>
      </c>
      <c r="E186" s="2" t="s">
        <v>114</v>
      </c>
      <c r="F186" s="2" t="s">
        <v>65</v>
      </c>
      <c r="G186" s="2" t="s">
        <v>54</v>
      </c>
      <c r="H186" s="2" t="s">
        <v>25</v>
      </c>
      <c r="I186" s="2" t="s">
        <v>67</v>
      </c>
      <c r="J186" s="2" t="s">
        <v>68</v>
      </c>
      <c r="K186" s="2" t="s">
        <v>117</v>
      </c>
      <c r="L186" s="2" t="s">
        <v>50</v>
      </c>
      <c r="M186" s="2">
        <v>3</v>
      </c>
      <c r="N186" s="3">
        <v>1200000</v>
      </c>
      <c r="O186" s="3">
        <v>1194444.75</v>
      </c>
      <c r="P186" s="4">
        <v>0</v>
      </c>
      <c r="Q186" s="2">
        <v>0</v>
      </c>
      <c r="R186" s="3">
        <v>3583334.25</v>
      </c>
      <c r="S186" s="3">
        <v>0</v>
      </c>
      <c r="T186" s="3">
        <v>3583334.25</v>
      </c>
      <c r="U186" t="str">
        <f t="shared" si="2"/>
        <v>Achive</v>
      </c>
    </row>
    <row r="187" spans="1:21" x14ac:dyDescent="0.3">
      <c r="A187" s="2">
        <v>800360</v>
      </c>
      <c r="B187" s="10">
        <v>45497</v>
      </c>
      <c r="C187" s="2" t="s">
        <v>51</v>
      </c>
      <c r="D187" s="2" t="s">
        <v>110</v>
      </c>
      <c r="E187" s="2" t="s">
        <v>111</v>
      </c>
      <c r="F187" s="2" t="s">
        <v>46</v>
      </c>
      <c r="G187" s="2" t="s">
        <v>116</v>
      </c>
      <c r="H187" s="2" t="s">
        <v>25</v>
      </c>
      <c r="I187" s="2" t="s">
        <v>67</v>
      </c>
      <c r="J187" s="2" t="s">
        <v>108</v>
      </c>
      <c r="K187" s="2" t="s">
        <v>62</v>
      </c>
      <c r="L187" s="2" t="s">
        <v>59</v>
      </c>
      <c r="M187" s="2">
        <v>3</v>
      </c>
      <c r="N187" s="3">
        <v>1800000</v>
      </c>
      <c r="O187" s="3">
        <v>1788489.36</v>
      </c>
      <c r="P187" s="4">
        <v>0</v>
      </c>
      <c r="Q187" s="2">
        <v>0</v>
      </c>
      <c r="R187" s="3">
        <v>5365468.08</v>
      </c>
      <c r="S187" s="3">
        <v>0</v>
      </c>
      <c r="T187" s="3">
        <v>5365468.08</v>
      </c>
      <c r="U187" t="str">
        <f t="shared" si="2"/>
        <v>Achive</v>
      </c>
    </row>
    <row r="188" spans="1:21" x14ac:dyDescent="0.3">
      <c r="A188" s="2">
        <v>800089</v>
      </c>
      <c r="B188" s="10">
        <v>45498</v>
      </c>
      <c r="C188" s="2" t="s">
        <v>69</v>
      </c>
      <c r="D188" s="2" t="s">
        <v>70</v>
      </c>
      <c r="E188" s="2" t="s">
        <v>93</v>
      </c>
      <c r="F188" s="2" t="s">
        <v>65</v>
      </c>
      <c r="G188" s="2" t="s">
        <v>33</v>
      </c>
      <c r="H188" s="2" t="s">
        <v>25</v>
      </c>
      <c r="I188" s="2" t="s">
        <v>43</v>
      </c>
      <c r="J188" s="2" t="s">
        <v>44</v>
      </c>
      <c r="K188" s="2" t="s">
        <v>129</v>
      </c>
      <c r="L188" s="2" t="s">
        <v>50</v>
      </c>
      <c r="M188" s="2">
        <v>4</v>
      </c>
      <c r="N188" s="3">
        <v>800000</v>
      </c>
      <c r="O188" s="3">
        <v>814515.73</v>
      </c>
      <c r="P188" s="4">
        <v>0</v>
      </c>
      <c r="Q188" s="2">
        <v>0</v>
      </c>
      <c r="R188" s="3">
        <v>3258062.92</v>
      </c>
      <c r="S188" s="3">
        <v>0</v>
      </c>
      <c r="T188" s="3">
        <v>3258062.92</v>
      </c>
      <c r="U188" t="str">
        <f t="shared" si="2"/>
        <v>Achive</v>
      </c>
    </row>
    <row r="189" spans="1:21" x14ac:dyDescent="0.3">
      <c r="A189" s="2">
        <v>800032</v>
      </c>
      <c r="B189" s="10">
        <v>45499</v>
      </c>
      <c r="C189" s="2" t="s">
        <v>69</v>
      </c>
      <c r="D189" s="2" t="s">
        <v>70</v>
      </c>
      <c r="E189" s="2" t="s">
        <v>71</v>
      </c>
      <c r="F189" s="2" t="s">
        <v>41</v>
      </c>
      <c r="G189" s="2" t="s">
        <v>72</v>
      </c>
      <c r="H189" s="2" t="s">
        <v>25</v>
      </c>
      <c r="I189" s="2" t="s">
        <v>43</v>
      </c>
      <c r="J189" s="2" t="s">
        <v>44</v>
      </c>
      <c r="K189" s="2" t="s">
        <v>45</v>
      </c>
      <c r="L189" s="2" t="s">
        <v>37</v>
      </c>
      <c r="M189" s="2">
        <v>2</v>
      </c>
      <c r="N189" s="3">
        <v>800000</v>
      </c>
      <c r="O189" s="3">
        <v>783982.91</v>
      </c>
      <c r="P189" s="4">
        <v>12.5</v>
      </c>
      <c r="Q189" s="2">
        <v>0</v>
      </c>
      <c r="R189" s="3">
        <v>1567965.82</v>
      </c>
      <c r="S189" s="3">
        <v>195995.73</v>
      </c>
      <c r="T189" s="3">
        <v>1371970.09</v>
      </c>
      <c r="U189" t="str">
        <f t="shared" si="2"/>
        <v>Not achive</v>
      </c>
    </row>
    <row r="190" spans="1:21" x14ac:dyDescent="0.3">
      <c r="A190" s="2">
        <v>800101</v>
      </c>
      <c r="B190" s="10">
        <v>45499</v>
      </c>
      <c r="C190" s="2" t="s">
        <v>38</v>
      </c>
      <c r="D190" s="2" t="s">
        <v>63</v>
      </c>
      <c r="E190" s="2" t="s">
        <v>64</v>
      </c>
      <c r="F190" s="2" t="s">
        <v>23</v>
      </c>
      <c r="G190" s="2" t="s">
        <v>94</v>
      </c>
      <c r="H190" s="2" t="s">
        <v>25</v>
      </c>
      <c r="I190" s="2" t="s">
        <v>67</v>
      </c>
      <c r="J190" s="2" t="s">
        <v>112</v>
      </c>
      <c r="K190" s="2" t="s">
        <v>99</v>
      </c>
      <c r="L190" s="2" t="s">
        <v>50</v>
      </c>
      <c r="M190" s="2">
        <v>3</v>
      </c>
      <c r="N190" s="3">
        <v>1250000</v>
      </c>
      <c r="O190" s="3">
        <v>1219650.8799999999</v>
      </c>
      <c r="P190" s="4">
        <v>2</v>
      </c>
      <c r="Q190" s="2">
        <v>0</v>
      </c>
      <c r="R190" s="3">
        <v>3658952.64</v>
      </c>
      <c r="S190" s="3">
        <v>73179.05</v>
      </c>
      <c r="T190" s="3">
        <v>3585773.59</v>
      </c>
      <c r="U190" t="str">
        <f t="shared" si="2"/>
        <v>Achive</v>
      </c>
    </row>
    <row r="191" spans="1:21" x14ac:dyDescent="0.3">
      <c r="A191" s="2">
        <v>800086</v>
      </c>
      <c r="B191" s="10">
        <v>45500</v>
      </c>
      <c r="C191" s="2" t="s">
        <v>38</v>
      </c>
      <c r="D191" s="2" t="s">
        <v>39</v>
      </c>
      <c r="E191" s="2" t="s">
        <v>40</v>
      </c>
      <c r="F191" s="2" t="s">
        <v>65</v>
      </c>
      <c r="G191" s="2" t="s">
        <v>116</v>
      </c>
      <c r="H191" s="2" t="s">
        <v>25</v>
      </c>
      <c r="I191" s="2" t="s">
        <v>67</v>
      </c>
      <c r="J191" s="2" t="s">
        <v>112</v>
      </c>
      <c r="K191" s="2" t="s">
        <v>58</v>
      </c>
      <c r="L191" s="2" t="s">
        <v>92</v>
      </c>
      <c r="M191" s="2">
        <v>3</v>
      </c>
      <c r="N191" s="3">
        <v>1250000</v>
      </c>
      <c r="O191" s="3">
        <v>1243545.46</v>
      </c>
      <c r="P191" s="4">
        <v>5</v>
      </c>
      <c r="Q191" s="2">
        <v>0</v>
      </c>
      <c r="R191" s="3">
        <v>3730636.38</v>
      </c>
      <c r="S191" s="3">
        <v>186531.82</v>
      </c>
      <c r="T191" s="3">
        <v>3544104.56</v>
      </c>
      <c r="U191" t="str">
        <f t="shared" si="2"/>
        <v>Achive</v>
      </c>
    </row>
    <row r="192" spans="1:21" x14ac:dyDescent="0.3">
      <c r="A192" s="2">
        <v>800385</v>
      </c>
      <c r="B192" s="10">
        <v>45500</v>
      </c>
      <c r="C192" s="2" t="s">
        <v>20</v>
      </c>
      <c r="D192" s="2" t="s">
        <v>30</v>
      </c>
      <c r="E192" s="2" t="s">
        <v>31</v>
      </c>
      <c r="F192" s="2" t="s">
        <v>23</v>
      </c>
      <c r="G192" s="2" t="s">
        <v>61</v>
      </c>
      <c r="H192" s="2" t="s">
        <v>25</v>
      </c>
      <c r="I192" s="2" t="s">
        <v>67</v>
      </c>
      <c r="J192" s="2" t="s">
        <v>68</v>
      </c>
      <c r="K192" s="2" t="s">
        <v>49</v>
      </c>
      <c r="L192" s="2" t="s">
        <v>87</v>
      </c>
      <c r="M192" s="2">
        <v>3</v>
      </c>
      <c r="N192" s="3">
        <v>1200000</v>
      </c>
      <c r="O192" s="3">
        <v>1211319.3600000001</v>
      </c>
      <c r="P192" s="4">
        <v>2</v>
      </c>
      <c r="Q192" s="2">
        <v>0</v>
      </c>
      <c r="R192" s="3">
        <v>3633958.08</v>
      </c>
      <c r="S192" s="3">
        <v>72679.16</v>
      </c>
      <c r="T192" s="3">
        <v>3561278.92</v>
      </c>
      <c r="U192" t="str">
        <f t="shared" si="2"/>
        <v>Achive</v>
      </c>
    </row>
    <row r="193" spans="1:21" x14ac:dyDescent="0.3">
      <c r="A193" s="2">
        <v>800544</v>
      </c>
      <c r="B193" s="10">
        <v>45501</v>
      </c>
      <c r="C193" s="2" t="s">
        <v>69</v>
      </c>
      <c r="D193" s="2" t="s">
        <v>70</v>
      </c>
      <c r="E193" s="2" t="s">
        <v>93</v>
      </c>
      <c r="F193" s="2" t="s">
        <v>23</v>
      </c>
      <c r="G193" s="2" t="s">
        <v>66</v>
      </c>
      <c r="H193" s="2" t="s">
        <v>25</v>
      </c>
      <c r="I193" s="2" t="s">
        <v>26</v>
      </c>
      <c r="J193" s="2" t="s">
        <v>120</v>
      </c>
      <c r="K193" s="2" t="s">
        <v>121</v>
      </c>
      <c r="L193" s="2" t="s">
        <v>29</v>
      </c>
      <c r="M193" s="2">
        <v>2</v>
      </c>
      <c r="N193" s="3">
        <v>1900000</v>
      </c>
      <c r="O193" s="3">
        <v>1860960.76</v>
      </c>
      <c r="P193" s="4">
        <v>0</v>
      </c>
      <c r="Q193" s="2">
        <v>0</v>
      </c>
      <c r="R193" s="3">
        <v>3721921.52</v>
      </c>
      <c r="S193" s="3">
        <v>0</v>
      </c>
      <c r="T193" s="3">
        <v>3721921.52</v>
      </c>
      <c r="U193" t="str">
        <f t="shared" si="2"/>
        <v>Achive</v>
      </c>
    </row>
    <row r="194" spans="1:21" x14ac:dyDescent="0.3">
      <c r="A194" s="2">
        <v>800077</v>
      </c>
      <c r="B194" s="10">
        <v>45502</v>
      </c>
      <c r="C194" s="2" t="s">
        <v>20</v>
      </c>
      <c r="D194" s="2" t="s">
        <v>74</v>
      </c>
      <c r="E194" s="2" t="s">
        <v>113</v>
      </c>
      <c r="F194" s="2" t="s">
        <v>32</v>
      </c>
      <c r="G194" s="2" t="s">
        <v>94</v>
      </c>
      <c r="H194" s="2" t="s">
        <v>25</v>
      </c>
      <c r="I194" s="2" t="s">
        <v>67</v>
      </c>
      <c r="J194" s="2" t="s">
        <v>85</v>
      </c>
      <c r="K194" s="2" t="s">
        <v>86</v>
      </c>
      <c r="L194" s="2" t="s">
        <v>123</v>
      </c>
      <c r="M194" s="2">
        <v>1</v>
      </c>
      <c r="N194" s="3">
        <v>1500000</v>
      </c>
      <c r="O194" s="3">
        <v>1528558.1</v>
      </c>
      <c r="P194" s="4">
        <v>2</v>
      </c>
      <c r="Q194" s="2">
        <v>0</v>
      </c>
      <c r="R194" s="3">
        <v>1528558.1</v>
      </c>
      <c r="S194" s="3">
        <v>30571.16</v>
      </c>
      <c r="T194" s="3">
        <v>1497986.94</v>
      </c>
      <c r="U194" t="str">
        <f t="shared" ref="U194:U257" si="3">IF(T194&gt;2000000,"Achive","Not achive")</f>
        <v>Not achive</v>
      </c>
    </row>
    <row r="195" spans="1:21" x14ac:dyDescent="0.3">
      <c r="A195" s="2">
        <v>800287</v>
      </c>
      <c r="B195" s="10">
        <v>45503</v>
      </c>
      <c r="C195" s="2" t="s">
        <v>20</v>
      </c>
      <c r="D195" s="2" t="s">
        <v>30</v>
      </c>
      <c r="E195" s="2" t="s">
        <v>31</v>
      </c>
      <c r="F195" s="2" t="s">
        <v>32</v>
      </c>
      <c r="G195" s="2" t="s">
        <v>116</v>
      </c>
      <c r="H195" s="2" t="s">
        <v>25</v>
      </c>
      <c r="I195" s="2" t="s">
        <v>43</v>
      </c>
      <c r="J195" s="2" t="s">
        <v>44</v>
      </c>
      <c r="K195" s="2" t="s">
        <v>129</v>
      </c>
      <c r="L195" s="2" t="s">
        <v>59</v>
      </c>
      <c r="M195" s="2">
        <v>4</v>
      </c>
      <c r="N195" s="3">
        <v>800000</v>
      </c>
      <c r="O195" s="3">
        <v>814625.11</v>
      </c>
      <c r="P195" s="4">
        <v>12.5</v>
      </c>
      <c r="Q195" s="2">
        <v>0</v>
      </c>
      <c r="R195" s="3">
        <v>3258500.44</v>
      </c>
      <c r="S195" s="3">
        <v>407312.55</v>
      </c>
      <c r="T195" s="3">
        <v>2851187.89</v>
      </c>
      <c r="U195" t="str">
        <f t="shared" si="3"/>
        <v>Achive</v>
      </c>
    </row>
    <row r="196" spans="1:21" x14ac:dyDescent="0.3">
      <c r="A196" s="2">
        <v>800400</v>
      </c>
      <c r="B196" s="10">
        <v>45503</v>
      </c>
      <c r="C196" s="2" t="s">
        <v>20</v>
      </c>
      <c r="D196" s="2" t="s">
        <v>74</v>
      </c>
      <c r="E196" s="2" t="s">
        <v>113</v>
      </c>
      <c r="F196" s="2" t="s">
        <v>65</v>
      </c>
      <c r="G196" s="2" t="s">
        <v>33</v>
      </c>
      <c r="H196" s="2" t="s">
        <v>25</v>
      </c>
      <c r="I196" s="2" t="s">
        <v>67</v>
      </c>
      <c r="J196" s="2" t="s">
        <v>112</v>
      </c>
      <c r="K196" s="2" t="s">
        <v>99</v>
      </c>
      <c r="L196" s="2" t="s">
        <v>87</v>
      </c>
      <c r="M196" s="2">
        <v>1</v>
      </c>
      <c r="N196" s="3">
        <v>1250000</v>
      </c>
      <c r="O196" s="3">
        <v>1223992.8899999999</v>
      </c>
      <c r="P196" s="4">
        <v>0</v>
      </c>
      <c r="Q196" s="2">
        <v>0</v>
      </c>
      <c r="R196" s="3">
        <v>1223992.8899999999</v>
      </c>
      <c r="S196" s="3">
        <v>0</v>
      </c>
      <c r="T196" s="3">
        <v>1223992.8899999999</v>
      </c>
      <c r="U196" t="str">
        <f t="shared" si="3"/>
        <v>Not achive</v>
      </c>
    </row>
    <row r="197" spans="1:21" x14ac:dyDescent="0.3">
      <c r="A197" s="2">
        <v>800192</v>
      </c>
      <c r="B197" s="10">
        <v>45505</v>
      </c>
      <c r="C197" s="2" t="s">
        <v>38</v>
      </c>
      <c r="D197" s="2" t="s">
        <v>39</v>
      </c>
      <c r="E197" s="2" t="s">
        <v>126</v>
      </c>
      <c r="F197" s="2" t="s">
        <v>46</v>
      </c>
      <c r="G197" s="2" t="s">
        <v>33</v>
      </c>
      <c r="H197" s="2" t="s">
        <v>25</v>
      </c>
      <c r="I197" s="2" t="s">
        <v>26</v>
      </c>
      <c r="J197" s="2" t="s">
        <v>27</v>
      </c>
      <c r="K197" s="2" t="s">
        <v>99</v>
      </c>
      <c r="L197" s="2" t="s">
        <v>37</v>
      </c>
      <c r="M197" s="2">
        <v>1</v>
      </c>
      <c r="N197" s="3">
        <v>750000</v>
      </c>
      <c r="O197" s="3">
        <v>753585.99</v>
      </c>
      <c r="P197" s="4">
        <v>2</v>
      </c>
      <c r="Q197" s="2">
        <v>0</v>
      </c>
      <c r="R197" s="3">
        <v>753585.99</v>
      </c>
      <c r="S197" s="3">
        <v>15071.72</v>
      </c>
      <c r="T197" s="3">
        <v>738514.27</v>
      </c>
      <c r="U197" t="str">
        <f t="shared" si="3"/>
        <v>Not achive</v>
      </c>
    </row>
    <row r="198" spans="1:21" x14ac:dyDescent="0.3">
      <c r="A198" s="2">
        <v>800407</v>
      </c>
      <c r="B198" s="10">
        <v>45505</v>
      </c>
      <c r="C198" s="2" t="s">
        <v>20</v>
      </c>
      <c r="D198" s="2" t="s">
        <v>30</v>
      </c>
      <c r="E198" s="2" t="s">
        <v>88</v>
      </c>
      <c r="F198" s="2" t="s">
        <v>23</v>
      </c>
      <c r="G198" s="2" t="s">
        <v>90</v>
      </c>
      <c r="H198" s="2" t="s">
        <v>25</v>
      </c>
      <c r="I198" s="2" t="s">
        <v>26</v>
      </c>
      <c r="J198" s="2" t="s">
        <v>57</v>
      </c>
      <c r="K198" s="2" t="s">
        <v>99</v>
      </c>
      <c r="L198" s="2" t="s">
        <v>87</v>
      </c>
      <c r="M198" s="2">
        <v>2</v>
      </c>
      <c r="N198" s="3">
        <v>800000</v>
      </c>
      <c r="O198" s="3">
        <v>784823.7</v>
      </c>
      <c r="P198" s="4">
        <v>0</v>
      </c>
      <c r="Q198" s="2">
        <v>0</v>
      </c>
      <c r="R198" s="3">
        <v>1569647.4</v>
      </c>
      <c r="S198" s="3">
        <v>0</v>
      </c>
      <c r="T198" s="3">
        <v>1569647.4</v>
      </c>
      <c r="U198" t="str">
        <f t="shared" si="3"/>
        <v>Not achive</v>
      </c>
    </row>
    <row r="199" spans="1:21" x14ac:dyDescent="0.3">
      <c r="A199" s="2">
        <v>800155</v>
      </c>
      <c r="B199" s="10">
        <v>45506</v>
      </c>
      <c r="C199" s="2" t="s">
        <v>38</v>
      </c>
      <c r="D199" s="2" t="s">
        <v>79</v>
      </c>
      <c r="E199" s="2" t="s">
        <v>133</v>
      </c>
      <c r="F199" s="2" t="s">
        <v>23</v>
      </c>
      <c r="G199" s="2" t="s">
        <v>94</v>
      </c>
      <c r="H199" s="2" t="s">
        <v>25</v>
      </c>
      <c r="I199" s="2" t="s">
        <v>26</v>
      </c>
      <c r="J199" s="2" t="s">
        <v>48</v>
      </c>
      <c r="K199" s="2" t="s">
        <v>89</v>
      </c>
      <c r="L199" s="2" t="s">
        <v>78</v>
      </c>
      <c r="M199" s="2">
        <v>2</v>
      </c>
      <c r="N199" s="3">
        <v>1200000</v>
      </c>
      <c r="O199" s="3">
        <v>1165390.58</v>
      </c>
      <c r="P199" s="4">
        <v>10</v>
      </c>
      <c r="Q199" s="2">
        <v>0</v>
      </c>
      <c r="R199" s="3">
        <v>2330781.16</v>
      </c>
      <c r="S199" s="3">
        <v>233078.12</v>
      </c>
      <c r="T199" s="3">
        <v>2097703.04</v>
      </c>
      <c r="U199" t="str">
        <f t="shared" si="3"/>
        <v>Achive</v>
      </c>
    </row>
    <row r="200" spans="1:21" x14ac:dyDescent="0.3">
      <c r="A200" s="2">
        <v>800504</v>
      </c>
      <c r="B200" s="10">
        <v>45506</v>
      </c>
      <c r="C200" s="2" t="s">
        <v>38</v>
      </c>
      <c r="D200" s="2" t="s">
        <v>63</v>
      </c>
      <c r="E200" s="2" t="s">
        <v>64</v>
      </c>
      <c r="F200" s="2" t="s">
        <v>65</v>
      </c>
      <c r="G200" s="2" t="s">
        <v>47</v>
      </c>
      <c r="H200" s="2" t="s">
        <v>25</v>
      </c>
      <c r="I200" s="2" t="s">
        <v>67</v>
      </c>
      <c r="J200" s="2" t="s">
        <v>68</v>
      </c>
      <c r="K200" s="2" t="s">
        <v>49</v>
      </c>
      <c r="L200" s="2" t="s">
        <v>78</v>
      </c>
      <c r="M200" s="2">
        <v>3</v>
      </c>
      <c r="N200" s="3">
        <v>1200000</v>
      </c>
      <c r="O200" s="3">
        <v>1199050.6100000001</v>
      </c>
      <c r="P200" s="4">
        <v>12.5</v>
      </c>
      <c r="Q200" s="2">
        <v>0</v>
      </c>
      <c r="R200" s="3">
        <v>3597151.83</v>
      </c>
      <c r="S200" s="3">
        <v>449643.98</v>
      </c>
      <c r="T200" s="3">
        <v>3147507.85</v>
      </c>
      <c r="U200" t="str">
        <f t="shared" si="3"/>
        <v>Achive</v>
      </c>
    </row>
    <row r="201" spans="1:21" x14ac:dyDescent="0.3">
      <c r="A201" s="2">
        <v>800438</v>
      </c>
      <c r="B201" s="10">
        <v>45507</v>
      </c>
      <c r="C201" s="2" t="s">
        <v>69</v>
      </c>
      <c r="D201" s="2" t="s">
        <v>70</v>
      </c>
      <c r="E201" s="2" t="s">
        <v>71</v>
      </c>
      <c r="F201" s="2" t="s">
        <v>46</v>
      </c>
      <c r="G201" s="2" t="s">
        <v>90</v>
      </c>
      <c r="H201" s="2" t="s">
        <v>25</v>
      </c>
      <c r="I201" s="2" t="s">
        <v>26</v>
      </c>
      <c r="J201" s="2" t="s">
        <v>81</v>
      </c>
      <c r="K201" s="2" t="s">
        <v>77</v>
      </c>
      <c r="L201" s="2" t="s">
        <v>73</v>
      </c>
      <c r="M201" s="2">
        <v>3</v>
      </c>
      <c r="N201" s="3">
        <v>1700000</v>
      </c>
      <c r="O201" s="3">
        <v>1721484.95</v>
      </c>
      <c r="P201" s="4">
        <v>0</v>
      </c>
      <c r="Q201" s="2">
        <v>0</v>
      </c>
      <c r="R201" s="3">
        <v>5164454.8499999996</v>
      </c>
      <c r="S201" s="3">
        <v>0</v>
      </c>
      <c r="T201" s="3">
        <v>5164454.8499999996</v>
      </c>
      <c r="U201" t="str">
        <f t="shared" si="3"/>
        <v>Achive</v>
      </c>
    </row>
    <row r="202" spans="1:21" x14ac:dyDescent="0.3">
      <c r="A202" s="2">
        <v>800451</v>
      </c>
      <c r="B202" s="10">
        <v>45509</v>
      </c>
      <c r="C202" s="2" t="s">
        <v>38</v>
      </c>
      <c r="D202" s="2" t="s">
        <v>63</v>
      </c>
      <c r="E202" s="2" t="s">
        <v>114</v>
      </c>
      <c r="F202" s="2" t="s">
        <v>46</v>
      </c>
      <c r="G202" s="2" t="s">
        <v>90</v>
      </c>
      <c r="H202" s="2" t="s">
        <v>25</v>
      </c>
      <c r="I202" s="2" t="s">
        <v>26</v>
      </c>
      <c r="J202" s="2" t="s">
        <v>27</v>
      </c>
      <c r="K202" s="2" t="s">
        <v>58</v>
      </c>
      <c r="L202" s="2" t="s">
        <v>37</v>
      </c>
      <c r="M202" s="2">
        <v>3</v>
      </c>
      <c r="N202" s="3">
        <v>750000</v>
      </c>
      <c r="O202" s="3">
        <v>745872.86</v>
      </c>
      <c r="P202" s="4">
        <v>7.5</v>
      </c>
      <c r="Q202" s="2">
        <v>0</v>
      </c>
      <c r="R202" s="3">
        <v>2237618.58</v>
      </c>
      <c r="S202" s="3">
        <v>167821.39</v>
      </c>
      <c r="T202" s="3">
        <v>2069797.19</v>
      </c>
      <c r="U202" t="str">
        <f t="shared" si="3"/>
        <v>Achive</v>
      </c>
    </row>
    <row r="203" spans="1:21" x14ac:dyDescent="0.3">
      <c r="A203" s="2">
        <v>800062</v>
      </c>
      <c r="B203" s="10">
        <v>45510</v>
      </c>
      <c r="C203" s="2" t="s">
        <v>20</v>
      </c>
      <c r="D203" s="2" t="s">
        <v>21</v>
      </c>
      <c r="E203" s="2" t="s">
        <v>98</v>
      </c>
      <c r="F203" s="2" t="s">
        <v>23</v>
      </c>
      <c r="G203" s="2" t="s">
        <v>66</v>
      </c>
      <c r="H203" s="2" t="s">
        <v>25</v>
      </c>
      <c r="I203" s="2" t="s">
        <v>26</v>
      </c>
      <c r="J203" s="2" t="s">
        <v>27</v>
      </c>
      <c r="K203" s="2" t="s">
        <v>99</v>
      </c>
      <c r="L203" s="2" t="s">
        <v>29</v>
      </c>
      <c r="M203" s="2">
        <v>1</v>
      </c>
      <c r="N203" s="3">
        <v>750000</v>
      </c>
      <c r="O203" s="3">
        <v>733094.91</v>
      </c>
      <c r="P203" s="4">
        <v>5</v>
      </c>
      <c r="Q203" s="2">
        <v>0</v>
      </c>
      <c r="R203" s="3">
        <v>733094.91</v>
      </c>
      <c r="S203" s="3">
        <v>36654.75</v>
      </c>
      <c r="T203" s="3">
        <v>696440.16</v>
      </c>
      <c r="U203" t="str">
        <f t="shared" si="3"/>
        <v>Not achive</v>
      </c>
    </row>
    <row r="204" spans="1:21" x14ac:dyDescent="0.3">
      <c r="A204" s="2">
        <v>800253</v>
      </c>
      <c r="B204" s="10">
        <v>45510</v>
      </c>
      <c r="C204" s="2" t="s">
        <v>69</v>
      </c>
      <c r="D204" s="2" t="s">
        <v>95</v>
      </c>
      <c r="E204" s="2" t="s">
        <v>135</v>
      </c>
      <c r="F204" s="2" t="s">
        <v>65</v>
      </c>
      <c r="G204" s="2" t="s">
        <v>72</v>
      </c>
      <c r="H204" s="2" t="s">
        <v>25</v>
      </c>
      <c r="I204" s="2" t="s">
        <v>43</v>
      </c>
      <c r="J204" s="2" t="s">
        <v>101</v>
      </c>
      <c r="K204" s="2" t="s">
        <v>45</v>
      </c>
      <c r="L204" s="2" t="s">
        <v>73</v>
      </c>
      <c r="M204" s="2">
        <v>1</v>
      </c>
      <c r="N204" s="3">
        <v>1000000</v>
      </c>
      <c r="O204" s="3">
        <v>997643.24</v>
      </c>
      <c r="P204" s="4">
        <v>10</v>
      </c>
      <c r="Q204" s="2">
        <v>0</v>
      </c>
      <c r="R204" s="3">
        <v>997643.24</v>
      </c>
      <c r="S204" s="3">
        <v>99764.32</v>
      </c>
      <c r="T204" s="3">
        <v>897878.92</v>
      </c>
      <c r="U204" t="str">
        <f t="shared" si="3"/>
        <v>Not achive</v>
      </c>
    </row>
    <row r="205" spans="1:21" x14ac:dyDescent="0.3">
      <c r="A205" s="2">
        <v>800411</v>
      </c>
      <c r="B205" s="10">
        <v>45511</v>
      </c>
      <c r="C205" s="2" t="s">
        <v>51</v>
      </c>
      <c r="D205" s="2" t="s">
        <v>55</v>
      </c>
      <c r="E205" s="2" t="s">
        <v>56</v>
      </c>
      <c r="F205" s="2" t="s">
        <v>46</v>
      </c>
      <c r="G205" s="2" t="s">
        <v>116</v>
      </c>
      <c r="H205" s="2" t="s">
        <v>25</v>
      </c>
      <c r="I205" s="2" t="s">
        <v>67</v>
      </c>
      <c r="J205" s="2" t="s">
        <v>68</v>
      </c>
      <c r="K205" s="2" t="s">
        <v>117</v>
      </c>
      <c r="L205" s="2" t="s">
        <v>50</v>
      </c>
      <c r="M205" s="2">
        <v>3</v>
      </c>
      <c r="N205" s="3">
        <v>1200000</v>
      </c>
      <c r="O205" s="3">
        <v>1192208.81</v>
      </c>
      <c r="P205" s="4">
        <v>2</v>
      </c>
      <c r="Q205" s="2">
        <v>0</v>
      </c>
      <c r="R205" s="3">
        <v>3576626.43</v>
      </c>
      <c r="S205" s="3">
        <v>71532.53</v>
      </c>
      <c r="T205" s="3">
        <v>3505093.9</v>
      </c>
      <c r="U205" t="str">
        <f t="shared" si="3"/>
        <v>Achive</v>
      </c>
    </row>
    <row r="206" spans="1:21" x14ac:dyDescent="0.3">
      <c r="A206" s="2">
        <v>800061</v>
      </c>
      <c r="B206" s="10">
        <v>45512</v>
      </c>
      <c r="C206" s="2" t="s">
        <v>69</v>
      </c>
      <c r="D206" s="2" t="s">
        <v>83</v>
      </c>
      <c r="E206" s="2" t="s">
        <v>84</v>
      </c>
      <c r="F206" s="2" t="s">
        <v>41</v>
      </c>
      <c r="G206" s="2" t="s">
        <v>116</v>
      </c>
      <c r="H206" s="2" t="s">
        <v>25</v>
      </c>
      <c r="I206" s="2" t="s">
        <v>67</v>
      </c>
      <c r="J206" s="2" t="s">
        <v>112</v>
      </c>
      <c r="K206" s="2" t="s">
        <v>99</v>
      </c>
      <c r="L206" s="2" t="s">
        <v>37</v>
      </c>
      <c r="M206" s="2">
        <v>2</v>
      </c>
      <c r="N206" s="3">
        <v>1250000</v>
      </c>
      <c r="O206" s="3">
        <v>1240029.3</v>
      </c>
      <c r="P206" s="4">
        <v>0</v>
      </c>
      <c r="Q206" s="2">
        <v>0</v>
      </c>
      <c r="R206" s="3">
        <v>2480058.6</v>
      </c>
      <c r="S206" s="3">
        <v>0</v>
      </c>
      <c r="T206" s="3">
        <v>2480058.6</v>
      </c>
      <c r="U206" t="str">
        <f t="shared" si="3"/>
        <v>Achive</v>
      </c>
    </row>
    <row r="207" spans="1:21" x14ac:dyDescent="0.3">
      <c r="A207" s="2">
        <v>800567</v>
      </c>
      <c r="B207" s="10">
        <v>45512</v>
      </c>
      <c r="C207" s="2" t="s">
        <v>51</v>
      </c>
      <c r="D207" s="2" t="s">
        <v>106</v>
      </c>
      <c r="E207" s="2" t="s">
        <v>128</v>
      </c>
      <c r="F207" s="2" t="s">
        <v>23</v>
      </c>
      <c r="G207" s="2" t="s">
        <v>72</v>
      </c>
      <c r="H207" s="2" t="s">
        <v>25</v>
      </c>
      <c r="I207" s="2" t="s">
        <v>26</v>
      </c>
      <c r="J207" s="2" t="s">
        <v>127</v>
      </c>
      <c r="K207" s="2" t="s">
        <v>58</v>
      </c>
      <c r="L207" s="2" t="s">
        <v>50</v>
      </c>
      <c r="M207" s="2">
        <v>1</v>
      </c>
      <c r="N207" s="3">
        <v>650000</v>
      </c>
      <c r="O207" s="3">
        <v>656274.29</v>
      </c>
      <c r="P207" s="4">
        <v>0</v>
      </c>
      <c r="Q207" s="2">
        <v>0</v>
      </c>
      <c r="R207" s="3">
        <v>656274.29</v>
      </c>
      <c r="S207" s="3">
        <v>0</v>
      </c>
      <c r="T207" s="3">
        <v>656274.29</v>
      </c>
      <c r="U207" t="str">
        <f t="shared" si="3"/>
        <v>Not achive</v>
      </c>
    </row>
    <row r="208" spans="1:21" x14ac:dyDescent="0.3">
      <c r="A208" s="2">
        <v>800395</v>
      </c>
      <c r="B208" s="10">
        <v>45513</v>
      </c>
      <c r="C208" s="2" t="s">
        <v>38</v>
      </c>
      <c r="D208" s="2" t="s">
        <v>63</v>
      </c>
      <c r="E208" s="2" t="s">
        <v>64</v>
      </c>
      <c r="F208" s="2" t="s">
        <v>65</v>
      </c>
      <c r="G208" s="2" t="s">
        <v>94</v>
      </c>
      <c r="H208" s="2" t="s">
        <v>25</v>
      </c>
      <c r="I208" s="2" t="s">
        <v>43</v>
      </c>
      <c r="J208" s="2" t="s">
        <v>44</v>
      </c>
      <c r="K208" s="2" t="s">
        <v>45</v>
      </c>
      <c r="L208" s="2" t="s">
        <v>87</v>
      </c>
      <c r="M208" s="2">
        <v>1</v>
      </c>
      <c r="N208" s="3">
        <v>800000</v>
      </c>
      <c r="O208" s="3">
        <v>803621.73</v>
      </c>
      <c r="P208" s="4">
        <v>0</v>
      </c>
      <c r="Q208" s="2">
        <v>0</v>
      </c>
      <c r="R208" s="3">
        <v>803621.73</v>
      </c>
      <c r="S208" s="3">
        <v>0</v>
      </c>
      <c r="T208" s="3">
        <v>803621.73</v>
      </c>
      <c r="U208" t="str">
        <f t="shared" si="3"/>
        <v>Not achive</v>
      </c>
    </row>
    <row r="209" spans="1:21" x14ac:dyDescent="0.3">
      <c r="A209" s="2">
        <v>800427</v>
      </c>
      <c r="B209" s="10">
        <v>45513</v>
      </c>
      <c r="C209" s="2" t="s">
        <v>38</v>
      </c>
      <c r="D209" s="2" t="s">
        <v>118</v>
      </c>
      <c r="E209" s="2" t="s">
        <v>125</v>
      </c>
      <c r="F209" s="2" t="s">
        <v>23</v>
      </c>
      <c r="G209" s="2" t="s">
        <v>33</v>
      </c>
      <c r="H209" s="2" t="s">
        <v>25</v>
      </c>
      <c r="I209" s="2" t="s">
        <v>26</v>
      </c>
      <c r="J209" s="2" t="s">
        <v>105</v>
      </c>
      <c r="K209" s="2" t="s">
        <v>82</v>
      </c>
      <c r="L209" s="2" t="s">
        <v>122</v>
      </c>
      <c r="M209" s="2">
        <v>3</v>
      </c>
      <c r="N209" s="3">
        <v>950000</v>
      </c>
      <c r="O209" s="3">
        <v>947417.25</v>
      </c>
      <c r="P209" s="4">
        <v>10</v>
      </c>
      <c r="Q209" s="2">
        <v>0</v>
      </c>
      <c r="R209" s="3">
        <v>2842251.75</v>
      </c>
      <c r="S209" s="3">
        <v>284225.17</v>
      </c>
      <c r="T209" s="3">
        <v>2558026.58</v>
      </c>
      <c r="U209" t="str">
        <f t="shared" si="3"/>
        <v>Achive</v>
      </c>
    </row>
    <row r="210" spans="1:21" x14ac:dyDescent="0.3">
      <c r="A210" s="2">
        <v>800264</v>
      </c>
      <c r="B210" s="10">
        <v>45515</v>
      </c>
      <c r="C210" s="2" t="s">
        <v>51</v>
      </c>
      <c r="D210" s="2" t="s">
        <v>106</v>
      </c>
      <c r="E210" s="2" t="s">
        <v>128</v>
      </c>
      <c r="F210" s="2" t="s">
        <v>46</v>
      </c>
      <c r="G210" s="2" t="s">
        <v>100</v>
      </c>
      <c r="H210" s="2" t="s">
        <v>25</v>
      </c>
      <c r="I210" s="2" t="s">
        <v>26</v>
      </c>
      <c r="J210" s="2" t="s">
        <v>76</v>
      </c>
      <c r="K210" s="2" t="s">
        <v>117</v>
      </c>
      <c r="L210" s="2" t="s">
        <v>123</v>
      </c>
      <c r="M210" s="2">
        <v>3</v>
      </c>
      <c r="N210" s="3">
        <v>700000</v>
      </c>
      <c r="O210" s="3">
        <v>701060.41</v>
      </c>
      <c r="P210" s="4">
        <v>0</v>
      </c>
      <c r="Q210" s="2">
        <v>0</v>
      </c>
      <c r="R210" s="3">
        <v>2103181.23</v>
      </c>
      <c r="S210" s="3">
        <v>0</v>
      </c>
      <c r="T210" s="3">
        <v>2103181.23</v>
      </c>
      <c r="U210" t="str">
        <f t="shared" si="3"/>
        <v>Achive</v>
      </c>
    </row>
    <row r="211" spans="1:21" x14ac:dyDescent="0.3">
      <c r="A211" s="2">
        <v>800289</v>
      </c>
      <c r="B211" s="10">
        <v>45515</v>
      </c>
      <c r="C211" s="2" t="s">
        <v>69</v>
      </c>
      <c r="D211" s="2" t="s">
        <v>95</v>
      </c>
      <c r="E211" s="2" t="s">
        <v>131</v>
      </c>
      <c r="F211" s="2" t="s">
        <v>46</v>
      </c>
      <c r="G211" s="2" t="s">
        <v>100</v>
      </c>
      <c r="H211" s="2" t="s">
        <v>25</v>
      </c>
      <c r="I211" s="2" t="s">
        <v>26</v>
      </c>
      <c r="J211" s="2" t="s">
        <v>127</v>
      </c>
      <c r="K211" s="2" t="s">
        <v>130</v>
      </c>
      <c r="L211" s="2" t="s">
        <v>50</v>
      </c>
      <c r="M211" s="2">
        <v>3</v>
      </c>
      <c r="N211" s="3">
        <v>650000</v>
      </c>
      <c r="O211" s="3">
        <v>644650.28</v>
      </c>
      <c r="P211" s="4">
        <v>0</v>
      </c>
      <c r="Q211" s="2">
        <v>0</v>
      </c>
      <c r="R211" s="3">
        <v>1933950.84</v>
      </c>
      <c r="S211" s="3">
        <v>0</v>
      </c>
      <c r="T211" s="3">
        <v>1933950.84</v>
      </c>
      <c r="U211" t="str">
        <f t="shared" si="3"/>
        <v>Not achive</v>
      </c>
    </row>
    <row r="212" spans="1:21" x14ac:dyDescent="0.3">
      <c r="A212" s="2">
        <v>800305</v>
      </c>
      <c r="B212" s="10">
        <v>45515</v>
      </c>
      <c r="C212" s="2" t="s">
        <v>20</v>
      </c>
      <c r="D212" s="2" t="s">
        <v>30</v>
      </c>
      <c r="E212" s="2" t="s">
        <v>88</v>
      </c>
      <c r="F212" s="2" t="s">
        <v>32</v>
      </c>
      <c r="G212" s="2" t="s">
        <v>47</v>
      </c>
      <c r="H212" s="2" t="s">
        <v>25</v>
      </c>
      <c r="I212" s="2" t="s">
        <v>43</v>
      </c>
      <c r="J212" s="2" t="s">
        <v>44</v>
      </c>
      <c r="K212" s="2" t="s">
        <v>45</v>
      </c>
      <c r="L212" s="2" t="s">
        <v>59</v>
      </c>
      <c r="M212" s="2">
        <v>2</v>
      </c>
      <c r="N212" s="3">
        <v>800000</v>
      </c>
      <c r="O212" s="3">
        <v>787751.36</v>
      </c>
      <c r="P212" s="4">
        <v>12.5</v>
      </c>
      <c r="Q212" s="2">
        <v>0</v>
      </c>
      <c r="R212" s="3">
        <v>1575502.72</v>
      </c>
      <c r="S212" s="3">
        <v>196937.84</v>
      </c>
      <c r="T212" s="3">
        <v>1378564.88</v>
      </c>
      <c r="U212" t="str">
        <f t="shared" si="3"/>
        <v>Not achive</v>
      </c>
    </row>
    <row r="213" spans="1:21" x14ac:dyDescent="0.3">
      <c r="A213" s="2">
        <v>800047</v>
      </c>
      <c r="B213" s="10">
        <v>45516</v>
      </c>
      <c r="C213" s="2" t="s">
        <v>69</v>
      </c>
      <c r="D213" s="2" t="s">
        <v>83</v>
      </c>
      <c r="E213" s="2" t="s">
        <v>97</v>
      </c>
      <c r="F213" s="2" t="s">
        <v>23</v>
      </c>
      <c r="G213" s="2" t="s">
        <v>54</v>
      </c>
      <c r="H213" s="2" t="s">
        <v>25</v>
      </c>
      <c r="I213" s="2" t="s">
        <v>67</v>
      </c>
      <c r="J213" s="2" t="s">
        <v>112</v>
      </c>
      <c r="K213" s="2" t="s">
        <v>58</v>
      </c>
      <c r="L213" s="2" t="s">
        <v>50</v>
      </c>
      <c r="M213" s="2">
        <v>3</v>
      </c>
      <c r="N213" s="3">
        <v>1250000</v>
      </c>
      <c r="O213" s="3">
        <v>1239288.3</v>
      </c>
      <c r="P213" s="4">
        <v>12.5</v>
      </c>
      <c r="Q213" s="2">
        <v>0</v>
      </c>
      <c r="R213" s="3">
        <v>3717864.9</v>
      </c>
      <c r="S213" s="3">
        <v>464733.11</v>
      </c>
      <c r="T213" s="3">
        <v>3253131.79</v>
      </c>
      <c r="U213" t="str">
        <f t="shared" si="3"/>
        <v>Achive</v>
      </c>
    </row>
    <row r="214" spans="1:21" x14ac:dyDescent="0.3">
      <c r="A214" s="2">
        <v>800545</v>
      </c>
      <c r="B214" s="10">
        <v>45516</v>
      </c>
      <c r="C214" s="2" t="s">
        <v>38</v>
      </c>
      <c r="D214" s="2" t="s">
        <v>63</v>
      </c>
      <c r="E214" s="2" t="s">
        <v>64</v>
      </c>
      <c r="F214" s="2" t="s">
        <v>65</v>
      </c>
      <c r="G214" s="2" t="s">
        <v>66</v>
      </c>
      <c r="H214" s="2" t="s">
        <v>25</v>
      </c>
      <c r="I214" s="2" t="s">
        <v>67</v>
      </c>
      <c r="J214" s="2" t="s">
        <v>112</v>
      </c>
      <c r="K214" s="2" t="s">
        <v>99</v>
      </c>
      <c r="L214" s="2" t="s">
        <v>37</v>
      </c>
      <c r="M214" s="2">
        <v>2</v>
      </c>
      <c r="N214" s="3">
        <v>1250000</v>
      </c>
      <c r="O214" s="3">
        <v>1247953.23</v>
      </c>
      <c r="P214" s="4">
        <v>5</v>
      </c>
      <c r="Q214" s="2">
        <v>0</v>
      </c>
      <c r="R214" s="3">
        <v>2495906.46</v>
      </c>
      <c r="S214" s="3">
        <v>124795.32</v>
      </c>
      <c r="T214" s="3">
        <v>2371111.14</v>
      </c>
      <c r="U214" t="str">
        <f t="shared" si="3"/>
        <v>Achive</v>
      </c>
    </row>
    <row r="215" spans="1:21" x14ac:dyDescent="0.3">
      <c r="A215" s="2">
        <v>800028</v>
      </c>
      <c r="B215" s="10">
        <v>45517</v>
      </c>
      <c r="C215" s="2" t="s">
        <v>38</v>
      </c>
      <c r="D215" s="2" t="s">
        <v>63</v>
      </c>
      <c r="E215" s="2" t="s">
        <v>64</v>
      </c>
      <c r="F215" s="2" t="s">
        <v>41</v>
      </c>
      <c r="G215" s="2" t="s">
        <v>61</v>
      </c>
      <c r="H215" s="2" t="s">
        <v>25</v>
      </c>
      <c r="I215" s="2" t="s">
        <v>26</v>
      </c>
      <c r="J215" s="2" t="s">
        <v>81</v>
      </c>
      <c r="K215" s="2" t="s">
        <v>77</v>
      </c>
      <c r="L215" s="2" t="s">
        <v>78</v>
      </c>
      <c r="M215" s="2">
        <v>1</v>
      </c>
      <c r="N215" s="3">
        <v>1700000</v>
      </c>
      <c r="O215" s="3">
        <v>1649301.38</v>
      </c>
      <c r="P215" s="4">
        <v>0</v>
      </c>
      <c r="Q215" s="2">
        <v>0</v>
      </c>
      <c r="R215" s="3">
        <v>1649301.38</v>
      </c>
      <c r="S215" s="3">
        <v>0</v>
      </c>
      <c r="T215" s="3">
        <v>1649301.38</v>
      </c>
      <c r="U215" t="str">
        <f t="shared" si="3"/>
        <v>Not achive</v>
      </c>
    </row>
    <row r="216" spans="1:21" x14ac:dyDescent="0.3">
      <c r="A216" s="2">
        <v>800364</v>
      </c>
      <c r="B216" s="10">
        <v>45517</v>
      </c>
      <c r="C216" s="2" t="s">
        <v>20</v>
      </c>
      <c r="D216" s="2" t="s">
        <v>74</v>
      </c>
      <c r="E216" s="2" t="s">
        <v>113</v>
      </c>
      <c r="F216" s="2" t="s">
        <v>41</v>
      </c>
      <c r="G216" s="2" t="s">
        <v>116</v>
      </c>
      <c r="H216" s="2" t="s">
        <v>25</v>
      </c>
      <c r="I216" s="2" t="s">
        <v>26</v>
      </c>
      <c r="J216" s="2" t="s">
        <v>81</v>
      </c>
      <c r="K216" s="2" t="s">
        <v>77</v>
      </c>
      <c r="L216" s="2" t="s">
        <v>50</v>
      </c>
      <c r="M216" s="2">
        <v>3</v>
      </c>
      <c r="N216" s="3">
        <v>1700000</v>
      </c>
      <c r="O216" s="3">
        <v>1731317.52</v>
      </c>
      <c r="P216" s="4">
        <v>5</v>
      </c>
      <c r="Q216" s="2">
        <v>0</v>
      </c>
      <c r="R216" s="3">
        <v>5193952.5599999996</v>
      </c>
      <c r="S216" s="3">
        <v>259697.63</v>
      </c>
      <c r="T216" s="3">
        <v>4934254.93</v>
      </c>
      <c r="U216" t="str">
        <f t="shared" si="3"/>
        <v>Achive</v>
      </c>
    </row>
    <row r="217" spans="1:21" x14ac:dyDescent="0.3">
      <c r="A217" s="2">
        <v>800065</v>
      </c>
      <c r="B217" s="10">
        <v>45518</v>
      </c>
      <c r="C217" s="2" t="s">
        <v>20</v>
      </c>
      <c r="D217" s="2" t="s">
        <v>30</v>
      </c>
      <c r="E217" s="2" t="s">
        <v>88</v>
      </c>
      <c r="F217" s="2" t="s">
        <v>65</v>
      </c>
      <c r="G217" s="2" t="s">
        <v>116</v>
      </c>
      <c r="H217" s="2" t="s">
        <v>25</v>
      </c>
      <c r="I217" s="2" t="s">
        <v>26</v>
      </c>
      <c r="J217" s="2" t="s">
        <v>76</v>
      </c>
      <c r="K217" s="2" t="s">
        <v>117</v>
      </c>
      <c r="L217" s="2" t="s">
        <v>78</v>
      </c>
      <c r="M217" s="2">
        <v>3</v>
      </c>
      <c r="N217" s="3">
        <v>700000</v>
      </c>
      <c r="O217" s="3">
        <v>709086.24</v>
      </c>
      <c r="P217" s="4">
        <v>0</v>
      </c>
      <c r="Q217" s="2">
        <v>0</v>
      </c>
      <c r="R217" s="3">
        <v>2127258.7200000002</v>
      </c>
      <c r="S217" s="3">
        <v>0</v>
      </c>
      <c r="T217" s="3">
        <v>2127258.7200000002</v>
      </c>
      <c r="U217" t="str">
        <f t="shared" si="3"/>
        <v>Achive</v>
      </c>
    </row>
    <row r="218" spans="1:21" x14ac:dyDescent="0.3">
      <c r="A218" s="2">
        <v>800161</v>
      </c>
      <c r="B218" s="10">
        <v>45518</v>
      </c>
      <c r="C218" s="2" t="s">
        <v>20</v>
      </c>
      <c r="D218" s="2" t="s">
        <v>30</v>
      </c>
      <c r="E218" s="2" t="s">
        <v>88</v>
      </c>
      <c r="F218" s="2" t="s">
        <v>23</v>
      </c>
      <c r="G218" s="2" t="s">
        <v>116</v>
      </c>
      <c r="H218" s="2" t="s">
        <v>25</v>
      </c>
      <c r="I218" s="2" t="s">
        <v>26</v>
      </c>
      <c r="J218" s="2" t="s">
        <v>105</v>
      </c>
      <c r="K218" s="2" t="s">
        <v>89</v>
      </c>
      <c r="L218" s="2" t="s">
        <v>50</v>
      </c>
      <c r="M218" s="2">
        <v>2</v>
      </c>
      <c r="N218" s="3">
        <v>950000</v>
      </c>
      <c r="O218" s="3">
        <v>949225.85</v>
      </c>
      <c r="P218" s="4">
        <v>0</v>
      </c>
      <c r="Q218" s="2">
        <v>0</v>
      </c>
      <c r="R218" s="3">
        <v>1898451.7</v>
      </c>
      <c r="S218" s="3">
        <v>0</v>
      </c>
      <c r="T218" s="3">
        <v>1898451.7</v>
      </c>
      <c r="U218" t="str">
        <f t="shared" si="3"/>
        <v>Not achive</v>
      </c>
    </row>
    <row r="219" spans="1:21" x14ac:dyDescent="0.3">
      <c r="A219" s="2">
        <v>800341</v>
      </c>
      <c r="B219" s="10">
        <v>45518</v>
      </c>
      <c r="C219" s="2" t="s">
        <v>38</v>
      </c>
      <c r="D219" s="2" t="s">
        <v>63</v>
      </c>
      <c r="E219" s="2" t="s">
        <v>114</v>
      </c>
      <c r="F219" s="2" t="s">
        <v>41</v>
      </c>
      <c r="G219" s="2" t="s">
        <v>100</v>
      </c>
      <c r="H219" s="2" t="s">
        <v>25</v>
      </c>
      <c r="I219" s="2" t="s">
        <v>26</v>
      </c>
      <c r="J219" s="2" t="s">
        <v>57</v>
      </c>
      <c r="K219" s="2" t="s">
        <v>99</v>
      </c>
      <c r="L219" s="2" t="s">
        <v>59</v>
      </c>
      <c r="M219" s="2">
        <v>1</v>
      </c>
      <c r="N219" s="3">
        <v>800000</v>
      </c>
      <c r="O219" s="3">
        <v>791087.93</v>
      </c>
      <c r="P219" s="4">
        <v>10</v>
      </c>
      <c r="Q219" s="2">
        <v>0</v>
      </c>
      <c r="R219" s="3">
        <v>791087.93</v>
      </c>
      <c r="S219" s="3">
        <v>79108.789999999994</v>
      </c>
      <c r="T219" s="3">
        <v>711979.14</v>
      </c>
      <c r="U219" t="str">
        <f t="shared" si="3"/>
        <v>Not achive</v>
      </c>
    </row>
    <row r="220" spans="1:21" x14ac:dyDescent="0.3">
      <c r="A220" s="2">
        <v>800153</v>
      </c>
      <c r="B220" s="10">
        <v>45519</v>
      </c>
      <c r="C220" s="2" t="s">
        <v>38</v>
      </c>
      <c r="D220" s="2" t="s">
        <v>118</v>
      </c>
      <c r="E220" s="2" t="s">
        <v>125</v>
      </c>
      <c r="F220" s="2" t="s">
        <v>23</v>
      </c>
      <c r="G220" s="2" t="s">
        <v>100</v>
      </c>
      <c r="H220" s="2" t="s">
        <v>25</v>
      </c>
      <c r="I220" s="2" t="s">
        <v>34</v>
      </c>
      <c r="J220" s="2" t="s">
        <v>35</v>
      </c>
      <c r="K220" s="2" t="s">
        <v>36</v>
      </c>
      <c r="L220" s="2" t="s">
        <v>59</v>
      </c>
      <c r="M220" s="2">
        <v>5</v>
      </c>
      <c r="N220" s="3">
        <v>550000</v>
      </c>
      <c r="O220" s="3">
        <v>536420.06000000006</v>
      </c>
      <c r="P220" s="4">
        <v>2</v>
      </c>
      <c r="Q220" s="2">
        <v>0</v>
      </c>
      <c r="R220" s="3">
        <v>2682100.2999999998</v>
      </c>
      <c r="S220" s="3">
        <v>53642.01</v>
      </c>
      <c r="T220" s="3">
        <v>2628458.29</v>
      </c>
      <c r="U220" t="str">
        <f t="shared" si="3"/>
        <v>Achive</v>
      </c>
    </row>
    <row r="221" spans="1:21" x14ac:dyDescent="0.3">
      <c r="A221" s="2">
        <v>800199</v>
      </c>
      <c r="B221" s="10">
        <v>45519</v>
      </c>
      <c r="C221" s="2" t="s">
        <v>51</v>
      </c>
      <c r="D221" s="2" t="s">
        <v>110</v>
      </c>
      <c r="E221" s="2" t="s">
        <v>134</v>
      </c>
      <c r="F221" s="2" t="s">
        <v>41</v>
      </c>
      <c r="G221" s="2" t="s">
        <v>61</v>
      </c>
      <c r="H221" s="2" t="s">
        <v>25</v>
      </c>
      <c r="I221" s="2" t="s">
        <v>67</v>
      </c>
      <c r="J221" s="2" t="s">
        <v>108</v>
      </c>
      <c r="K221" s="2" t="s">
        <v>89</v>
      </c>
      <c r="L221" s="2" t="s">
        <v>122</v>
      </c>
      <c r="M221" s="2">
        <v>1</v>
      </c>
      <c r="N221" s="3">
        <v>1800000</v>
      </c>
      <c r="O221" s="3">
        <v>1801780.28</v>
      </c>
      <c r="P221" s="4">
        <v>5</v>
      </c>
      <c r="Q221" s="2">
        <v>0</v>
      </c>
      <c r="R221" s="3">
        <v>1801780.28</v>
      </c>
      <c r="S221" s="3">
        <v>90089.01</v>
      </c>
      <c r="T221" s="3">
        <v>1711691.27</v>
      </c>
      <c r="U221" t="str">
        <f t="shared" si="3"/>
        <v>Not achive</v>
      </c>
    </row>
    <row r="222" spans="1:21" x14ac:dyDescent="0.3">
      <c r="A222" s="2">
        <v>800540</v>
      </c>
      <c r="B222" s="10">
        <v>45519</v>
      </c>
      <c r="C222" s="2" t="s">
        <v>69</v>
      </c>
      <c r="D222" s="2" t="s">
        <v>70</v>
      </c>
      <c r="E222" s="2" t="s">
        <v>71</v>
      </c>
      <c r="F222" s="2" t="s">
        <v>32</v>
      </c>
      <c r="G222" s="2" t="s">
        <v>61</v>
      </c>
      <c r="H222" s="2" t="s">
        <v>25</v>
      </c>
      <c r="I222" s="2" t="s">
        <v>26</v>
      </c>
      <c r="J222" s="2" t="s">
        <v>81</v>
      </c>
      <c r="K222" s="2" t="s">
        <v>77</v>
      </c>
      <c r="L222" s="2" t="s">
        <v>92</v>
      </c>
      <c r="M222" s="2">
        <v>3</v>
      </c>
      <c r="N222" s="3">
        <v>1700000</v>
      </c>
      <c r="O222" s="3">
        <v>1666832.49</v>
      </c>
      <c r="P222" s="4">
        <v>2</v>
      </c>
      <c r="Q222" s="2">
        <v>0</v>
      </c>
      <c r="R222" s="3">
        <v>5000497.47</v>
      </c>
      <c r="S222" s="3">
        <v>100009.95</v>
      </c>
      <c r="T222" s="3">
        <v>4900487.5199999996</v>
      </c>
      <c r="U222" t="str">
        <f t="shared" si="3"/>
        <v>Achive</v>
      </c>
    </row>
    <row r="223" spans="1:21" x14ac:dyDescent="0.3">
      <c r="A223" s="2">
        <v>800493</v>
      </c>
      <c r="B223" s="10">
        <v>45520</v>
      </c>
      <c r="C223" s="2" t="s">
        <v>20</v>
      </c>
      <c r="D223" s="2" t="s">
        <v>74</v>
      </c>
      <c r="E223" s="2" t="s">
        <v>75</v>
      </c>
      <c r="F223" s="2" t="s">
        <v>46</v>
      </c>
      <c r="G223" s="2" t="s">
        <v>72</v>
      </c>
      <c r="H223" s="2" t="s">
        <v>25</v>
      </c>
      <c r="I223" s="2" t="s">
        <v>67</v>
      </c>
      <c r="J223" s="2" t="s">
        <v>112</v>
      </c>
      <c r="K223" s="2" t="s">
        <v>58</v>
      </c>
      <c r="L223" s="2" t="s">
        <v>92</v>
      </c>
      <c r="M223" s="2">
        <v>2</v>
      </c>
      <c r="N223" s="3">
        <v>1250000</v>
      </c>
      <c r="O223" s="3">
        <v>1265425.24</v>
      </c>
      <c r="P223" s="4">
        <v>2</v>
      </c>
      <c r="Q223" s="2">
        <v>0</v>
      </c>
      <c r="R223" s="3">
        <v>2530850.48</v>
      </c>
      <c r="S223" s="3">
        <v>50617.01</v>
      </c>
      <c r="T223" s="3">
        <v>2480233.4700000002</v>
      </c>
      <c r="U223" t="str">
        <f t="shared" si="3"/>
        <v>Achive</v>
      </c>
    </row>
    <row r="224" spans="1:21" x14ac:dyDescent="0.3">
      <c r="A224" s="2">
        <v>800393</v>
      </c>
      <c r="B224" s="10">
        <v>45521</v>
      </c>
      <c r="C224" s="2" t="s">
        <v>20</v>
      </c>
      <c r="D224" s="2" t="s">
        <v>30</v>
      </c>
      <c r="E224" s="2" t="s">
        <v>88</v>
      </c>
      <c r="F224" s="2" t="s">
        <v>65</v>
      </c>
      <c r="G224" s="2" t="s">
        <v>72</v>
      </c>
      <c r="H224" s="2" t="s">
        <v>25</v>
      </c>
      <c r="I224" s="2" t="s">
        <v>67</v>
      </c>
      <c r="J224" s="2" t="s">
        <v>68</v>
      </c>
      <c r="K224" s="2" t="s">
        <v>117</v>
      </c>
      <c r="L224" s="2" t="s">
        <v>73</v>
      </c>
      <c r="M224" s="2">
        <v>3</v>
      </c>
      <c r="N224" s="3">
        <v>1200000</v>
      </c>
      <c r="O224" s="3">
        <v>1171868.3500000001</v>
      </c>
      <c r="P224" s="4">
        <v>2</v>
      </c>
      <c r="Q224" s="2">
        <v>0</v>
      </c>
      <c r="R224" s="3">
        <v>3515605.05</v>
      </c>
      <c r="S224" s="3">
        <v>70312.100000000006</v>
      </c>
      <c r="T224" s="3">
        <v>3445292.95</v>
      </c>
      <c r="U224" t="str">
        <f t="shared" si="3"/>
        <v>Achive</v>
      </c>
    </row>
    <row r="225" spans="1:21" x14ac:dyDescent="0.3">
      <c r="A225" s="2">
        <v>800074</v>
      </c>
      <c r="B225" s="10">
        <v>45522</v>
      </c>
      <c r="C225" s="2" t="s">
        <v>20</v>
      </c>
      <c r="D225" s="2" t="s">
        <v>21</v>
      </c>
      <c r="E225" s="2" t="s">
        <v>98</v>
      </c>
      <c r="F225" s="2" t="s">
        <v>41</v>
      </c>
      <c r="G225" s="2" t="s">
        <v>66</v>
      </c>
      <c r="H225" s="2" t="s">
        <v>25</v>
      </c>
      <c r="I225" s="2" t="s">
        <v>26</v>
      </c>
      <c r="J225" s="2" t="s">
        <v>27</v>
      </c>
      <c r="K225" s="2" t="s">
        <v>99</v>
      </c>
      <c r="L225" s="2" t="s">
        <v>73</v>
      </c>
      <c r="M225" s="2">
        <v>2</v>
      </c>
      <c r="N225" s="3">
        <v>750000</v>
      </c>
      <c r="O225" s="3">
        <v>762474.49</v>
      </c>
      <c r="P225" s="4">
        <v>5</v>
      </c>
      <c r="Q225" s="2">
        <v>0</v>
      </c>
      <c r="R225" s="3">
        <v>1524948.98</v>
      </c>
      <c r="S225" s="3">
        <v>76247.45</v>
      </c>
      <c r="T225" s="3">
        <v>1448701.53</v>
      </c>
      <c r="U225" t="str">
        <f t="shared" si="3"/>
        <v>Not achive</v>
      </c>
    </row>
    <row r="226" spans="1:21" x14ac:dyDescent="0.3">
      <c r="A226" s="2">
        <v>800088</v>
      </c>
      <c r="B226" s="10">
        <v>45522</v>
      </c>
      <c r="C226" s="2" t="s">
        <v>51</v>
      </c>
      <c r="D226" s="2" t="s">
        <v>55</v>
      </c>
      <c r="E226" s="2" t="s">
        <v>60</v>
      </c>
      <c r="F226" s="2" t="s">
        <v>41</v>
      </c>
      <c r="G226" s="2" t="s">
        <v>47</v>
      </c>
      <c r="H226" s="2" t="s">
        <v>25</v>
      </c>
      <c r="I226" s="2" t="s">
        <v>26</v>
      </c>
      <c r="J226" s="2" t="s">
        <v>105</v>
      </c>
      <c r="K226" s="2" t="s">
        <v>82</v>
      </c>
      <c r="L226" s="2" t="s">
        <v>87</v>
      </c>
      <c r="M226" s="2">
        <v>1</v>
      </c>
      <c r="N226" s="3">
        <v>950000</v>
      </c>
      <c r="O226" s="3">
        <v>931037.75</v>
      </c>
      <c r="P226" s="4">
        <v>7.5</v>
      </c>
      <c r="Q226" s="2">
        <v>0</v>
      </c>
      <c r="R226" s="3">
        <v>931037.75</v>
      </c>
      <c r="S226" s="3">
        <v>69827.83</v>
      </c>
      <c r="T226" s="3">
        <v>861209.92</v>
      </c>
      <c r="U226" t="str">
        <f t="shared" si="3"/>
        <v>Not achive</v>
      </c>
    </row>
    <row r="227" spans="1:21" x14ac:dyDescent="0.3">
      <c r="A227" s="2">
        <v>800408</v>
      </c>
      <c r="B227" s="10">
        <v>45522</v>
      </c>
      <c r="C227" s="2" t="s">
        <v>38</v>
      </c>
      <c r="D227" s="2" t="s">
        <v>118</v>
      </c>
      <c r="E227" s="2" t="s">
        <v>125</v>
      </c>
      <c r="F227" s="2" t="s">
        <v>23</v>
      </c>
      <c r="G227" s="2" t="s">
        <v>90</v>
      </c>
      <c r="H227" s="2" t="s">
        <v>25</v>
      </c>
      <c r="I227" s="2" t="s">
        <v>43</v>
      </c>
      <c r="J227" s="2" t="s">
        <v>44</v>
      </c>
      <c r="K227" s="2" t="s">
        <v>45</v>
      </c>
      <c r="L227" s="2" t="s">
        <v>73</v>
      </c>
      <c r="M227" s="2">
        <v>2</v>
      </c>
      <c r="N227" s="3">
        <v>800000</v>
      </c>
      <c r="O227" s="3">
        <v>787583.81</v>
      </c>
      <c r="P227" s="4">
        <v>12.5</v>
      </c>
      <c r="Q227" s="2">
        <v>0</v>
      </c>
      <c r="R227" s="3">
        <v>1575167.62</v>
      </c>
      <c r="S227" s="3">
        <v>196895.95</v>
      </c>
      <c r="T227" s="3">
        <v>1378271.67</v>
      </c>
      <c r="U227" t="str">
        <f t="shared" si="3"/>
        <v>Not achive</v>
      </c>
    </row>
    <row r="228" spans="1:21" x14ac:dyDescent="0.3">
      <c r="A228" s="2">
        <v>800476</v>
      </c>
      <c r="B228" s="10">
        <v>45522</v>
      </c>
      <c r="C228" s="2" t="s">
        <v>38</v>
      </c>
      <c r="D228" s="2" t="s">
        <v>39</v>
      </c>
      <c r="E228" s="2" t="s">
        <v>40</v>
      </c>
      <c r="F228" s="2" t="s">
        <v>46</v>
      </c>
      <c r="G228" s="2" t="s">
        <v>24</v>
      </c>
      <c r="H228" s="2" t="s">
        <v>25</v>
      </c>
      <c r="I228" s="2" t="s">
        <v>26</v>
      </c>
      <c r="J228" s="2" t="s">
        <v>76</v>
      </c>
      <c r="K228" s="2" t="s">
        <v>77</v>
      </c>
      <c r="L228" s="2" t="s">
        <v>78</v>
      </c>
      <c r="M228" s="2">
        <v>2</v>
      </c>
      <c r="N228" s="3">
        <v>700000</v>
      </c>
      <c r="O228" s="3">
        <v>697629.65</v>
      </c>
      <c r="P228" s="4">
        <v>12.5</v>
      </c>
      <c r="Q228" s="2">
        <v>0</v>
      </c>
      <c r="R228" s="3">
        <v>1395259.3</v>
      </c>
      <c r="S228" s="3">
        <v>174407.41</v>
      </c>
      <c r="T228" s="3">
        <v>1220851.8899999999</v>
      </c>
      <c r="U228" t="str">
        <f t="shared" si="3"/>
        <v>Not achive</v>
      </c>
    </row>
    <row r="229" spans="1:21" x14ac:dyDescent="0.3">
      <c r="A229" s="2">
        <v>800100</v>
      </c>
      <c r="B229" s="10">
        <v>45523</v>
      </c>
      <c r="C229" s="2" t="s">
        <v>20</v>
      </c>
      <c r="D229" s="2" t="s">
        <v>74</v>
      </c>
      <c r="E229" s="2" t="s">
        <v>75</v>
      </c>
      <c r="F229" s="2" t="s">
        <v>23</v>
      </c>
      <c r="G229" s="2" t="s">
        <v>33</v>
      </c>
      <c r="H229" s="2" t="s">
        <v>25</v>
      </c>
      <c r="I229" s="2" t="s">
        <v>43</v>
      </c>
      <c r="J229" s="2" t="s">
        <v>101</v>
      </c>
      <c r="K229" s="2" t="s">
        <v>102</v>
      </c>
      <c r="L229" s="2" t="s">
        <v>50</v>
      </c>
      <c r="M229" s="2">
        <v>1</v>
      </c>
      <c r="N229" s="3">
        <v>1000000</v>
      </c>
      <c r="O229" s="3">
        <v>986105.59</v>
      </c>
      <c r="P229" s="4">
        <v>0</v>
      </c>
      <c r="Q229" s="2">
        <v>0</v>
      </c>
      <c r="R229" s="3">
        <v>986105.59</v>
      </c>
      <c r="S229" s="3">
        <v>0</v>
      </c>
      <c r="T229" s="3">
        <v>986105.59</v>
      </c>
      <c r="U229" t="str">
        <f t="shared" si="3"/>
        <v>Not achive</v>
      </c>
    </row>
    <row r="230" spans="1:21" x14ac:dyDescent="0.3">
      <c r="A230" s="2">
        <v>800597</v>
      </c>
      <c r="B230" s="10">
        <v>45523</v>
      </c>
      <c r="C230" s="2" t="s">
        <v>69</v>
      </c>
      <c r="D230" s="2" t="s">
        <v>83</v>
      </c>
      <c r="E230" s="2" t="s">
        <v>97</v>
      </c>
      <c r="F230" s="2" t="s">
        <v>65</v>
      </c>
      <c r="G230" s="2" t="s">
        <v>24</v>
      </c>
      <c r="H230" s="2" t="s">
        <v>25</v>
      </c>
      <c r="I230" s="2" t="s">
        <v>43</v>
      </c>
      <c r="J230" s="2" t="s">
        <v>44</v>
      </c>
      <c r="K230" s="2" t="s">
        <v>129</v>
      </c>
      <c r="L230" s="2" t="s">
        <v>122</v>
      </c>
      <c r="M230" s="2">
        <v>4</v>
      </c>
      <c r="N230" s="3">
        <v>800000</v>
      </c>
      <c r="O230" s="3">
        <v>784720.34</v>
      </c>
      <c r="P230" s="4">
        <v>0</v>
      </c>
      <c r="Q230" s="2">
        <v>0</v>
      </c>
      <c r="R230" s="3">
        <v>3138881.36</v>
      </c>
      <c r="S230" s="3">
        <v>0</v>
      </c>
      <c r="T230" s="3">
        <v>3138881.36</v>
      </c>
      <c r="U230" t="str">
        <f t="shared" si="3"/>
        <v>Achive</v>
      </c>
    </row>
    <row r="231" spans="1:21" x14ac:dyDescent="0.3">
      <c r="A231" s="2">
        <v>800075</v>
      </c>
      <c r="B231" s="10">
        <v>45524</v>
      </c>
      <c r="C231" s="2" t="s">
        <v>20</v>
      </c>
      <c r="D231" s="2" t="s">
        <v>74</v>
      </c>
      <c r="E231" s="2" t="s">
        <v>113</v>
      </c>
      <c r="F231" s="2" t="s">
        <v>46</v>
      </c>
      <c r="G231" s="2" t="s">
        <v>66</v>
      </c>
      <c r="H231" s="2" t="s">
        <v>25</v>
      </c>
      <c r="I231" s="2" t="s">
        <v>67</v>
      </c>
      <c r="J231" s="2" t="s">
        <v>108</v>
      </c>
      <c r="K231" s="2" t="s">
        <v>89</v>
      </c>
      <c r="L231" s="2" t="s">
        <v>87</v>
      </c>
      <c r="M231" s="2">
        <v>1</v>
      </c>
      <c r="N231" s="3">
        <v>1800000</v>
      </c>
      <c r="O231" s="3">
        <v>1828968.13</v>
      </c>
      <c r="P231" s="4">
        <v>0</v>
      </c>
      <c r="Q231" s="2">
        <v>0</v>
      </c>
      <c r="R231" s="3">
        <v>1828968.13</v>
      </c>
      <c r="S231" s="3">
        <v>0</v>
      </c>
      <c r="T231" s="3">
        <v>1828968.13</v>
      </c>
      <c r="U231" t="str">
        <f t="shared" si="3"/>
        <v>Not achive</v>
      </c>
    </row>
    <row r="232" spans="1:21" x14ac:dyDescent="0.3">
      <c r="A232" s="2">
        <v>800094</v>
      </c>
      <c r="B232" s="10">
        <v>45524</v>
      </c>
      <c r="C232" s="2" t="s">
        <v>69</v>
      </c>
      <c r="D232" s="2" t="s">
        <v>70</v>
      </c>
      <c r="E232" s="2" t="s">
        <v>93</v>
      </c>
      <c r="F232" s="2" t="s">
        <v>46</v>
      </c>
      <c r="G232" s="2" t="s">
        <v>24</v>
      </c>
      <c r="H232" s="2" t="s">
        <v>25</v>
      </c>
      <c r="I232" s="2" t="s">
        <v>26</v>
      </c>
      <c r="J232" s="2" t="s">
        <v>27</v>
      </c>
      <c r="K232" s="2" t="s">
        <v>99</v>
      </c>
      <c r="L232" s="2" t="s">
        <v>123</v>
      </c>
      <c r="M232" s="2">
        <v>3</v>
      </c>
      <c r="N232" s="3">
        <v>750000</v>
      </c>
      <c r="O232" s="3">
        <v>761313.61</v>
      </c>
      <c r="P232" s="4">
        <v>7.5</v>
      </c>
      <c r="Q232" s="2">
        <v>0</v>
      </c>
      <c r="R232" s="3">
        <v>2283940.83</v>
      </c>
      <c r="S232" s="3">
        <v>171295.56</v>
      </c>
      <c r="T232" s="3">
        <v>2112645.27</v>
      </c>
      <c r="U232" t="str">
        <f t="shared" si="3"/>
        <v>Achive</v>
      </c>
    </row>
    <row r="233" spans="1:21" x14ac:dyDescent="0.3">
      <c r="A233" s="2">
        <v>800382</v>
      </c>
      <c r="B233" s="10">
        <v>45524</v>
      </c>
      <c r="C233" s="2" t="s">
        <v>20</v>
      </c>
      <c r="D233" s="2" t="s">
        <v>74</v>
      </c>
      <c r="E233" s="2" t="s">
        <v>75</v>
      </c>
      <c r="F233" s="2" t="s">
        <v>32</v>
      </c>
      <c r="G233" s="2" t="s">
        <v>116</v>
      </c>
      <c r="H233" s="2" t="s">
        <v>25</v>
      </c>
      <c r="I233" s="2" t="s">
        <v>26</v>
      </c>
      <c r="J233" s="2" t="s">
        <v>120</v>
      </c>
      <c r="K233" s="2" t="s">
        <v>121</v>
      </c>
      <c r="L233" s="2" t="s">
        <v>50</v>
      </c>
      <c r="M233" s="2">
        <v>1</v>
      </c>
      <c r="N233" s="3">
        <v>1900000</v>
      </c>
      <c r="O233" s="3">
        <v>1895211.3</v>
      </c>
      <c r="P233" s="4">
        <v>7.5</v>
      </c>
      <c r="Q233" s="2">
        <v>0</v>
      </c>
      <c r="R233" s="3">
        <v>1895211.3</v>
      </c>
      <c r="S233" s="3">
        <v>142140.85</v>
      </c>
      <c r="T233" s="3">
        <v>1753070.45</v>
      </c>
      <c r="U233" t="str">
        <f t="shared" si="3"/>
        <v>Not achive</v>
      </c>
    </row>
    <row r="234" spans="1:21" x14ac:dyDescent="0.3">
      <c r="A234" s="2">
        <v>800414</v>
      </c>
      <c r="B234" s="10">
        <v>45524</v>
      </c>
      <c r="C234" s="2" t="s">
        <v>38</v>
      </c>
      <c r="D234" s="2" t="s">
        <v>79</v>
      </c>
      <c r="E234" s="2" t="s">
        <v>80</v>
      </c>
      <c r="F234" s="2" t="s">
        <v>41</v>
      </c>
      <c r="G234" s="2" t="s">
        <v>42</v>
      </c>
      <c r="H234" s="2" t="s">
        <v>25</v>
      </c>
      <c r="I234" s="2" t="s">
        <v>26</v>
      </c>
      <c r="J234" s="2" t="s">
        <v>76</v>
      </c>
      <c r="K234" s="2" t="s">
        <v>77</v>
      </c>
      <c r="L234" s="2" t="s">
        <v>122</v>
      </c>
      <c r="M234" s="2">
        <v>3</v>
      </c>
      <c r="N234" s="3">
        <v>700000</v>
      </c>
      <c r="O234" s="3">
        <v>694195.66</v>
      </c>
      <c r="P234" s="4">
        <v>0</v>
      </c>
      <c r="Q234" s="2">
        <v>0</v>
      </c>
      <c r="R234" s="3">
        <v>2082586.98</v>
      </c>
      <c r="S234" s="3">
        <v>0</v>
      </c>
      <c r="T234" s="3">
        <v>2082586.98</v>
      </c>
      <c r="U234" t="str">
        <f t="shared" si="3"/>
        <v>Achive</v>
      </c>
    </row>
    <row r="235" spans="1:21" x14ac:dyDescent="0.3">
      <c r="A235" s="2">
        <v>800594</v>
      </c>
      <c r="B235" s="10">
        <v>45525</v>
      </c>
      <c r="C235" s="2" t="s">
        <v>20</v>
      </c>
      <c r="D235" s="2" t="s">
        <v>74</v>
      </c>
      <c r="E235" s="2" t="s">
        <v>113</v>
      </c>
      <c r="F235" s="2" t="s">
        <v>23</v>
      </c>
      <c r="G235" s="2" t="s">
        <v>42</v>
      </c>
      <c r="H235" s="2" t="s">
        <v>25</v>
      </c>
      <c r="I235" s="2" t="s">
        <v>43</v>
      </c>
      <c r="J235" s="2" t="s">
        <v>101</v>
      </c>
      <c r="K235" s="2" t="s">
        <v>45</v>
      </c>
      <c r="L235" s="2" t="s">
        <v>122</v>
      </c>
      <c r="M235" s="2">
        <v>2</v>
      </c>
      <c r="N235" s="3">
        <v>1000000</v>
      </c>
      <c r="O235" s="3">
        <v>983635.6</v>
      </c>
      <c r="P235" s="4">
        <v>0</v>
      </c>
      <c r="Q235" s="2">
        <v>0</v>
      </c>
      <c r="R235" s="3">
        <v>1967271.2</v>
      </c>
      <c r="S235" s="3">
        <v>0</v>
      </c>
      <c r="T235" s="3">
        <v>1967271.2</v>
      </c>
      <c r="U235" t="str">
        <f t="shared" si="3"/>
        <v>Not achive</v>
      </c>
    </row>
    <row r="236" spans="1:21" x14ac:dyDescent="0.3">
      <c r="A236" s="2">
        <v>800267</v>
      </c>
      <c r="B236" s="10">
        <v>45526</v>
      </c>
      <c r="C236" s="2" t="s">
        <v>69</v>
      </c>
      <c r="D236" s="2" t="s">
        <v>95</v>
      </c>
      <c r="E236" s="2" t="s">
        <v>96</v>
      </c>
      <c r="F236" s="2" t="s">
        <v>32</v>
      </c>
      <c r="G236" s="2" t="s">
        <v>54</v>
      </c>
      <c r="H236" s="2" t="s">
        <v>25</v>
      </c>
      <c r="I236" s="2" t="s">
        <v>26</v>
      </c>
      <c r="J236" s="2" t="s">
        <v>76</v>
      </c>
      <c r="K236" s="2" t="s">
        <v>115</v>
      </c>
      <c r="L236" s="2" t="s">
        <v>78</v>
      </c>
      <c r="M236" s="2">
        <v>2</v>
      </c>
      <c r="N236" s="3">
        <v>700000</v>
      </c>
      <c r="O236" s="3">
        <v>693419.73</v>
      </c>
      <c r="P236" s="4">
        <v>12.5</v>
      </c>
      <c r="Q236" s="2">
        <v>0</v>
      </c>
      <c r="R236" s="3">
        <v>1386839.46</v>
      </c>
      <c r="S236" s="3">
        <v>173354.93</v>
      </c>
      <c r="T236" s="3">
        <v>1213484.53</v>
      </c>
      <c r="U236" t="str">
        <f t="shared" si="3"/>
        <v>Not achive</v>
      </c>
    </row>
    <row r="237" spans="1:21" x14ac:dyDescent="0.3">
      <c r="A237" s="2">
        <v>800614</v>
      </c>
      <c r="B237" s="10">
        <v>45526</v>
      </c>
      <c r="C237" s="2" t="s">
        <v>69</v>
      </c>
      <c r="D237" s="2" t="s">
        <v>95</v>
      </c>
      <c r="E237" s="2" t="s">
        <v>135</v>
      </c>
      <c r="F237" s="2" t="s">
        <v>32</v>
      </c>
      <c r="G237" s="2" t="s">
        <v>72</v>
      </c>
      <c r="H237" s="2" t="s">
        <v>25</v>
      </c>
      <c r="I237" s="2" t="s">
        <v>26</v>
      </c>
      <c r="J237" s="2" t="s">
        <v>57</v>
      </c>
      <c r="K237" s="2" t="s">
        <v>103</v>
      </c>
      <c r="L237" s="2" t="s">
        <v>50</v>
      </c>
      <c r="M237" s="2">
        <v>2</v>
      </c>
      <c r="N237" s="3">
        <v>800000</v>
      </c>
      <c r="O237" s="3">
        <v>777766.49</v>
      </c>
      <c r="P237" s="4">
        <v>0</v>
      </c>
      <c r="Q237" s="2">
        <v>0</v>
      </c>
      <c r="R237" s="3">
        <v>1555532.98</v>
      </c>
      <c r="S237" s="3">
        <v>0</v>
      </c>
      <c r="T237" s="3">
        <v>1555532.98</v>
      </c>
      <c r="U237" t="str">
        <f t="shared" si="3"/>
        <v>Not achive</v>
      </c>
    </row>
    <row r="238" spans="1:21" x14ac:dyDescent="0.3">
      <c r="A238" s="2">
        <v>800198</v>
      </c>
      <c r="B238" s="10">
        <v>45529</v>
      </c>
      <c r="C238" s="2" t="s">
        <v>20</v>
      </c>
      <c r="D238" s="2" t="s">
        <v>30</v>
      </c>
      <c r="E238" s="2" t="s">
        <v>88</v>
      </c>
      <c r="F238" s="2" t="s">
        <v>41</v>
      </c>
      <c r="G238" s="2" t="s">
        <v>116</v>
      </c>
      <c r="H238" s="2" t="s">
        <v>25</v>
      </c>
      <c r="I238" s="2" t="s">
        <v>67</v>
      </c>
      <c r="J238" s="2" t="s">
        <v>108</v>
      </c>
      <c r="K238" s="2" t="s">
        <v>91</v>
      </c>
      <c r="L238" s="2" t="s">
        <v>87</v>
      </c>
      <c r="M238" s="2">
        <v>1</v>
      </c>
      <c r="N238" s="3">
        <v>1800000</v>
      </c>
      <c r="O238" s="3">
        <v>1747505.35</v>
      </c>
      <c r="P238" s="4">
        <v>5</v>
      </c>
      <c r="Q238" s="2">
        <v>0</v>
      </c>
      <c r="R238" s="3">
        <v>1747505.35</v>
      </c>
      <c r="S238" s="3">
        <v>87375.27</v>
      </c>
      <c r="T238" s="3">
        <v>1660130.08</v>
      </c>
      <c r="U238" t="str">
        <f t="shared" si="3"/>
        <v>Not achive</v>
      </c>
    </row>
    <row r="239" spans="1:21" x14ac:dyDescent="0.3">
      <c r="A239" s="2">
        <v>800546</v>
      </c>
      <c r="B239" s="10">
        <v>45529</v>
      </c>
      <c r="C239" s="2" t="s">
        <v>69</v>
      </c>
      <c r="D239" s="2" t="s">
        <v>70</v>
      </c>
      <c r="E239" s="2" t="s">
        <v>93</v>
      </c>
      <c r="F239" s="2" t="s">
        <v>65</v>
      </c>
      <c r="G239" s="2" t="s">
        <v>116</v>
      </c>
      <c r="H239" s="2" t="s">
        <v>25</v>
      </c>
      <c r="I239" s="2" t="s">
        <v>26</v>
      </c>
      <c r="J239" s="2" t="s">
        <v>57</v>
      </c>
      <c r="K239" s="2" t="s">
        <v>103</v>
      </c>
      <c r="L239" s="2" t="s">
        <v>78</v>
      </c>
      <c r="M239" s="2">
        <v>2</v>
      </c>
      <c r="N239" s="3">
        <v>800000</v>
      </c>
      <c r="O239" s="3">
        <v>814248.55</v>
      </c>
      <c r="P239" s="4">
        <v>0</v>
      </c>
      <c r="Q239" s="2">
        <v>0</v>
      </c>
      <c r="R239" s="3">
        <v>1628497.1</v>
      </c>
      <c r="S239" s="3">
        <v>0</v>
      </c>
      <c r="T239" s="3">
        <v>1628497.1</v>
      </c>
      <c r="U239" t="str">
        <f t="shared" si="3"/>
        <v>Not achive</v>
      </c>
    </row>
    <row r="240" spans="1:21" x14ac:dyDescent="0.3">
      <c r="A240" s="2">
        <v>800130</v>
      </c>
      <c r="B240" s="10">
        <v>45530</v>
      </c>
      <c r="C240" s="2" t="s">
        <v>20</v>
      </c>
      <c r="D240" s="2" t="s">
        <v>74</v>
      </c>
      <c r="E240" s="2" t="s">
        <v>75</v>
      </c>
      <c r="F240" s="2" t="s">
        <v>41</v>
      </c>
      <c r="G240" s="2" t="s">
        <v>116</v>
      </c>
      <c r="H240" s="2" t="s">
        <v>25</v>
      </c>
      <c r="I240" s="2" t="s">
        <v>67</v>
      </c>
      <c r="J240" s="2" t="s">
        <v>68</v>
      </c>
      <c r="K240" s="2" t="s">
        <v>49</v>
      </c>
      <c r="L240" s="2" t="s">
        <v>73</v>
      </c>
      <c r="M240" s="2">
        <v>3</v>
      </c>
      <c r="N240" s="3">
        <v>1200000</v>
      </c>
      <c r="O240" s="3">
        <v>1220413.56</v>
      </c>
      <c r="P240" s="4">
        <v>10</v>
      </c>
      <c r="Q240" s="2">
        <v>0</v>
      </c>
      <c r="R240" s="3">
        <v>3661240.68</v>
      </c>
      <c r="S240" s="3">
        <v>366124.07</v>
      </c>
      <c r="T240" s="3">
        <v>3295116.61</v>
      </c>
      <c r="U240" t="str">
        <f t="shared" si="3"/>
        <v>Achive</v>
      </c>
    </row>
    <row r="241" spans="1:21" x14ac:dyDescent="0.3">
      <c r="A241" s="2">
        <v>800157</v>
      </c>
      <c r="B241" s="10">
        <v>45530</v>
      </c>
      <c r="C241" s="2" t="s">
        <v>20</v>
      </c>
      <c r="D241" s="2" t="s">
        <v>21</v>
      </c>
      <c r="E241" s="2" t="s">
        <v>22</v>
      </c>
      <c r="F241" s="2" t="s">
        <v>65</v>
      </c>
      <c r="G241" s="2" t="s">
        <v>72</v>
      </c>
      <c r="H241" s="2" t="s">
        <v>25</v>
      </c>
      <c r="I241" s="2" t="s">
        <v>26</v>
      </c>
      <c r="J241" s="2" t="s">
        <v>105</v>
      </c>
      <c r="K241" s="2" t="s">
        <v>49</v>
      </c>
      <c r="L241" s="2" t="s">
        <v>87</v>
      </c>
      <c r="M241" s="2">
        <v>1</v>
      </c>
      <c r="N241" s="3">
        <v>950000</v>
      </c>
      <c r="O241" s="3">
        <v>948588.38</v>
      </c>
      <c r="P241" s="4">
        <v>2</v>
      </c>
      <c r="Q241" s="2">
        <v>0</v>
      </c>
      <c r="R241" s="3">
        <v>948588.38</v>
      </c>
      <c r="S241" s="3">
        <v>18971.77</v>
      </c>
      <c r="T241" s="3">
        <v>929616.61</v>
      </c>
      <c r="U241" t="str">
        <f t="shared" si="3"/>
        <v>Not achive</v>
      </c>
    </row>
    <row r="242" spans="1:21" x14ac:dyDescent="0.3">
      <c r="A242" s="2">
        <v>800335</v>
      </c>
      <c r="B242" s="10">
        <v>45531</v>
      </c>
      <c r="C242" s="2" t="s">
        <v>69</v>
      </c>
      <c r="D242" s="2" t="s">
        <v>70</v>
      </c>
      <c r="E242" s="2" t="s">
        <v>136</v>
      </c>
      <c r="F242" s="2" t="s">
        <v>32</v>
      </c>
      <c r="G242" s="2" t="s">
        <v>47</v>
      </c>
      <c r="H242" s="2" t="s">
        <v>25</v>
      </c>
      <c r="I242" s="2" t="s">
        <v>43</v>
      </c>
      <c r="J242" s="2" t="s">
        <v>44</v>
      </c>
      <c r="K242" s="2" t="s">
        <v>129</v>
      </c>
      <c r="L242" s="2" t="s">
        <v>59</v>
      </c>
      <c r="M242" s="2">
        <v>6</v>
      </c>
      <c r="N242" s="3">
        <v>800000</v>
      </c>
      <c r="O242" s="3">
        <v>784693.7</v>
      </c>
      <c r="P242" s="4">
        <v>2</v>
      </c>
      <c r="Q242" s="2">
        <v>0</v>
      </c>
      <c r="R242" s="3">
        <v>4708162.2</v>
      </c>
      <c r="S242" s="3">
        <v>94163.24</v>
      </c>
      <c r="T242" s="3">
        <v>4613998.96</v>
      </c>
      <c r="U242" t="str">
        <f t="shared" si="3"/>
        <v>Achive</v>
      </c>
    </row>
    <row r="243" spans="1:21" x14ac:dyDescent="0.3">
      <c r="A243" s="2">
        <v>800549</v>
      </c>
      <c r="B243" s="10">
        <v>45531</v>
      </c>
      <c r="C243" s="2" t="s">
        <v>20</v>
      </c>
      <c r="D243" s="2" t="s">
        <v>74</v>
      </c>
      <c r="E243" s="2" t="s">
        <v>75</v>
      </c>
      <c r="F243" s="2" t="s">
        <v>23</v>
      </c>
      <c r="G243" s="2" t="s">
        <v>24</v>
      </c>
      <c r="H243" s="2" t="s">
        <v>25</v>
      </c>
      <c r="I243" s="2" t="s">
        <v>26</v>
      </c>
      <c r="J243" s="2" t="s">
        <v>57</v>
      </c>
      <c r="K243" s="2" t="s">
        <v>58</v>
      </c>
      <c r="L243" s="2" t="s">
        <v>59</v>
      </c>
      <c r="M243" s="2">
        <v>3</v>
      </c>
      <c r="N243" s="3">
        <v>800000</v>
      </c>
      <c r="O243" s="3">
        <v>789251.23</v>
      </c>
      <c r="P243" s="4">
        <v>5</v>
      </c>
      <c r="Q243" s="2">
        <v>0</v>
      </c>
      <c r="R243" s="3">
        <v>2367753.69</v>
      </c>
      <c r="S243" s="3">
        <v>118387.68</v>
      </c>
      <c r="T243" s="3">
        <v>2249366.0099999998</v>
      </c>
      <c r="U243" t="str">
        <f t="shared" si="3"/>
        <v>Achive</v>
      </c>
    </row>
    <row r="244" spans="1:21" x14ac:dyDescent="0.3">
      <c r="A244" s="2">
        <v>800255</v>
      </c>
      <c r="B244" s="10">
        <v>45532</v>
      </c>
      <c r="C244" s="2" t="s">
        <v>51</v>
      </c>
      <c r="D244" s="2" t="s">
        <v>110</v>
      </c>
      <c r="E244" s="2" t="s">
        <v>134</v>
      </c>
      <c r="F244" s="2" t="s">
        <v>23</v>
      </c>
      <c r="G244" s="2" t="s">
        <v>47</v>
      </c>
      <c r="H244" s="2" t="s">
        <v>25</v>
      </c>
      <c r="I244" s="2" t="s">
        <v>34</v>
      </c>
      <c r="J244" s="2" t="s">
        <v>35</v>
      </c>
      <c r="K244" s="2" t="s">
        <v>36</v>
      </c>
      <c r="L244" s="2" t="s">
        <v>123</v>
      </c>
      <c r="M244" s="2">
        <v>1</v>
      </c>
      <c r="N244" s="3">
        <v>550000</v>
      </c>
      <c r="O244" s="3">
        <v>548710.01</v>
      </c>
      <c r="P244" s="4">
        <v>0</v>
      </c>
      <c r="Q244" s="2">
        <v>0</v>
      </c>
      <c r="R244" s="3">
        <v>548710.01</v>
      </c>
      <c r="S244" s="3">
        <v>0</v>
      </c>
      <c r="T244" s="3">
        <v>548710.01</v>
      </c>
      <c r="U244" t="str">
        <f t="shared" si="3"/>
        <v>Not achive</v>
      </c>
    </row>
    <row r="245" spans="1:21" x14ac:dyDescent="0.3">
      <c r="A245" s="2">
        <v>800496</v>
      </c>
      <c r="B245" s="10">
        <v>45533</v>
      </c>
      <c r="C245" s="2" t="s">
        <v>38</v>
      </c>
      <c r="D245" s="2" t="s">
        <v>39</v>
      </c>
      <c r="E245" s="2" t="s">
        <v>40</v>
      </c>
      <c r="F245" s="2" t="s">
        <v>32</v>
      </c>
      <c r="G245" s="2" t="s">
        <v>116</v>
      </c>
      <c r="H245" s="2" t="s">
        <v>25</v>
      </c>
      <c r="I245" s="2" t="s">
        <v>26</v>
      </c>
      <c r="J245" s="2" t="s">
        <v>48</v>
      </c>
      <c r="K245" s="2" t="s">
        <v>89</v>
      </c>
      <c r="L245" s="2" t="s">
        <v>59</v>
      </c>
      <c r="M245" s="2">
        <v>2</v>
      </c>
      <c r="N245" s="3">
        <v>1200000</v>
      </c>
      <c r="O245" s="3">
        <v>1198437.92</v>
      </c>
      <c r="P245" s="4">
        <v>7.5</v>
      </c>
      <c r="Q245" s="2">
        <v>0</v>
      </c>
      <c r="R245" s="3">
        <v>2396875.84</v>
      </c>
      <c r="S245" s="3">
        <v>179765.69</v>
      </c>
      <c r="T245" s="3">
        <v>2217110.15</v>
      </c>
      <c r="U245" t="str">
        <f t="shared" si="3"/>
        <v>Achive</v>
      </c>
    </row>
    <row r="246" spans="1:21" x14ac:dyDescent="0.3">
      <c r="A246" s="2">
        <v>800021</v>
      </c>
      <c r="B246" s="10">
        <v>45534</v>
      </c>
      <c r="C246" s="2" t="s">
        <v>51</v>
      </c>
      <c r="D246" s="2" t="s">
        <v>52</v>
      </c>
      <c r="E246" s="2" t="s">
        <v>132</v>
      </c>
      <c r="F246" s="2" t="s">
        <v>41</v>
      </c>
      <c r="G246" s="2" t="s">
        <v>72</v>
      </c>
      <c r="H246" s="2" t="s">
        <v>25</v>
      </c>
      <c r="I246" s="2" t="s">
        <v>67</v>
      </c>
      <c r="J246" s="2" t="s">
        <v>68</v>
      </c>
      <c r="K246" s="2" t="s">
        <v>117</v>
      </c>
      <c r="L246" s="2" t="s">
        <v>78</v>
      </c>
      <c r="M246" s="2">
        <v>2</v>
      </c>
      <c r="N246" s="3">
        <v>1200000</v>
      </c>
      <c r="O246" s="3">
        <v>1205795.49</v>
      </c>
      <c r="P246" s="4">
        <v>12.5</v>
      </c>
      <c r="Q246" s="2">
        <v>0</v>
      </c>
      <c r="R246" s="3">
        <v>2411590.98</v>
      </c>
      <c r="S246" s="3">
        <v>301448.87</v>
      </c>
      <c r="T246" s="3">
        <v>2110142.11</v>
      </c>
      <c r="U246" t="str">
        <f t="shared" si="3"/>
        <v>Achive</v>
      </c>
    </row>
    <row r="247" spans="1:21" x14ac:dyDescent="0.3">
      <c r="A247" s="2">
        <v>800059</v>
      </c>
      <c r="B247" s="10">
        <v>45534</v>
      </c>
      <c r="C247" s="2" t="s">
        <v>69</v>
      </c>
      <c r="D247" s="2" t="s">
        <v>95</v>
      </c>
      <c r="E247" s="2" t="s">
        <v>131</v>
      </c>
      <c r="F247" s="2" t="s">
        <v>23</v>
      </c>
      <c r="G247" s="2" t="s">
        <v>47</v>
      </c>
      <c r="H247" s="2" t="s">
        <v>25</v>
      </c>
      <c r="I247" s="2" t="s">
        <v>26</v>
      </c>
      <c r="J247" s="2" t="s">
        <v>120</v>
      </c>
      <c r="K247" s="2" t="s">
        <v>121</v>
      </c>
      <c r="L247" s="2" t="s">
        <v>59</v>
      </c>
      <c r="M247" s="2">
        <v>3</v>
      </c>
      <c r="N247" s="3">
        <v>1900000</v>
      </c>
      <c r="O247" s="3">
        <v>1869884.88</v>
      </c>
      <c r="P247" s="4">
        <v>0</v>
      </c>
      <c r="Q247" s="2">
        <v>0</v>
      </c>
      <c r="R247" s="3">
        <v>5609654.6399999997</v>
      </c>
      <c r="S247" s="3">
        <v>0</v>
      </c>
      <c r="T247" s="3">
        <v>5609654.6399999997</v>
      </c>
      <c r="U247" t="str">
        <f t="shared" si="3"/>
        <v>Achive</v>
      </c>
    </row>
    <row r="248" spans="1:21" x14ac:dyDescent="0.3">
      <c r="A248" s="2">
        <v>800123</v>
      </c>
      <c r="B248" s="10">
        <v>45534</v>
      </c>
      <c r="C248" s="2" t="s">
        <v>38</v>
      </c>
      <c r="D248" s="2" t="s">
        <v>39</v>
      </c>
      <c r="E248" s="2" t="s">
        <v>40</v>
      </c>
      <c r="F248" s="2" t="s">
        <v>65</v>
      </c>
      <c r="G248" s="2" t="s">
        <v>100</v>
      </c>
      <c r="H248" s="2" t="s">
        <v>25</v>
      </c>
      <c r="I248" s="2" t="s">
        <v>26</v>
      </c>
      <c r="J248" s="2" t="s">
        <v>76</v>
      </c>
      <c r="K248" s="2" t="s">
        <v>117</v>
      </c>
      <c r="L248" s="2" t="s">
        <v>37</v>
      </c>
      <c r="M248" s="2">
        <v>1</v>
      </c>
      <c r="N248" s="3">
        <v>700000</v>
      </c>
      <c r="O248" s="3">
        <v>686929.01</v>
      </c>
      <c r="P248" s="4">
        <v>0</v>
      </c>
      <c r="Q248" s="2">
        <v>0</v>
      </c>
      <c r="R248" s="3">
        <v>686929.01</v>
      </c>
      <c r="S248" s="3">
        <v>0</v>
      </c>
      <c r="T248" s="3">
        <v>686929.01</v>
      </c>
      <c r="U248" t="str">
        <f t="shared" si="3"/>
        <v>Not achive</v>
      </c>
    </row>
    <row r="249" spans="1:21" x14ac:dyDescent="0.3">
      <c r="A249" s="2">
        <v>800138</v>
      </c>
      <c r="B249" s="10">
        <v>45534</v>
      </c>
      <c r="C249" s="2" t="s">
        <v>38</v>
      </c>
      <c r="D249" s="2" t="s">
        <v>39</v>
      </c>
      <c r="E249" s="2" t="s">
        <v>40</v>
      </c>
      <c r="F249" s="2" t="s">
        <v>41</v>
      </c>
      <c r="G249" s="2" t="s">
        <v>72</v>
      </c>
      <c r="H249" s="2" t="s">
        <v>25</v>
      </c>
      <c r="I249" s="2" t="s">
        <v>67</v>
      </c>
      <c r="J249" s="2" t="s">
        <v>112</v>
      </c>
      <c r="K249" s="2" t="s">
        <v>58</v>
      </c>
      <c r="L249" s="2" t="s">
        <v>59</v>
      </c>
      <c r="M249" s="2">
        <v>2</v>
      </c>
      <c r="N249" s="3">
        <v>1250000</v>
      </c>
      <c r="O249" s="3">
        <v>1232575.71</v>
      </c>
      <c r="P249" s="4">
        <v>0</v>
      </c>
      <c r="Q249" s="2">
        <v>0</v>
      </c>
      <c r="R249" s="3">
        <v>2465151.42</v>
      </c>
      <c r="S249" s="3">
        <v>0</v>
      </c>
      <c r="T249" s="3">
        <v>2465151.42</v>
      </c>
      <c r="U249" t="str">
        <f t="shared" si="3"/>
        <v>Achive</v>
      </c>
    </row>
    <row r="250" spans="1:21" x14ac:dyDescent="0.3">
      <c r="A250" s="2">
        <v>800319</v>
      </c>
      <c r="B250" s="10">
        <v>45534</v>
      </c>
      <c r="C250" s="2" t="s">
        <v>20</v>
      </c>
      <c r="D250" s="2" t="s">
        <v>21</v>
      </c>
      <c r="E250" s="2" t="s">
        <v>98</v>
      </c>
      <c r="F250" s="2" t="s">
        <v>32</v>
      </c>
      <c r="G250" s="2" t="s">
        <v>61</v>
      </c>
      <c r="H250" s="2" t="s">
        <v>25</v>
      </c>
      <c r="I250" s="2" t="s">
        <v>26</v>
      </c>
      <c r="J250" s="2" t="s">
        <v>120</v>
      </c>
      <c r="K250" s="2" t="s">
        <v>121</v>
      </c>
      <c r="L250" s="2" t="s">
        <v>50</v>
      </c>
      <c r="M250" s="2">
        <v>2</v>
      </c>
      <c r="N250" s="3">
        <v>1900000</v>
      </c>
      <c r="O250" s="3">
        <v>1904212</v>
      </c>
      <c r="P250" s="4">
        <v>12.5</v>
      </c>
      <c r="Q250" s="2">
        <v>0</v>
      </c>
      <c r="R250" s="3">
        <v>3808424</v>
      </c>
      <c r="S250" s="3">
        <v>476053</v>
      </c>
      <c r="T250" s="3">
        <v>3332371</v>
      </c>
      <c r="U250" t="str">
        <f t="shared" si="3"/>
        <v>Achive</v>
      </c>
    </row>
    <row r="251" spans="1:21" x14ac:dyDescent="0.3">
      <c r="A251" s="2">
        <v>800537</v>
      </c>
      <c r="B251" s="10">
        <v>45534</v>
      </c>
      <c r="C251" s="2" t="s">
        <v>69</v>
      </c>
      <c r="D251" s="2" t="s">
        <v>83</v>
      </c>
      <c r="E251" s="2" t="s">
        <v>84</v>
      </c>
      <c r="F251" s="2" t="s">
        <v>46</v>
      </c>
      <c r="G251" s="2" t="s">
        <v>24</v>
      </c>
      <c r="H251" s="2" t="s">
        <v>25</v>
      </c>
      <c r="I251" s="2" t="s">
        <v>26</v>
      </c>
      <c r="J251" s="2" t="s">
        <v>81</v>
      </c>
      <c r="K251" s="2" t="s">
        <v>77</v>
      </c>
      <c r="L251" s="2" t="s">
        <v>29</v>
      </c>
      <c r="M251" s="2">
        <v>3</v>
      </c>
      <c r="N251" s="3">
        <v>1700000</v>
      </c>
      <c r="O251" s="3">
        <v>1655009.38</v>
      </c>
      <c r="P251" s="4">
        <v>7.5</v>
      </c>
      <c r="Q251" s="2">
        <v>0</v>
      </c>
      <c r="R251" s="3">
        <v>4965028.1399999997</v>
      </c>
      <c r="S251" s="3">
        <v>372377.11</v>
      </c>
      <c r="T251" s="3">
        <v>4592651.03</v>
      </c>
      <c r="U251" t="str">
        <f t="shared" si="3"/>
        <v>Achive</v>
      </c>
    </row>
    <row r="252" spans="1:21" x14ac:dyDescent="0.3">
      <c r="A252" s="2">
        <v>800282</v>
      </c>
      <c r="B252" s="10">
        <v>45535</v>
      </c>
      <c r="C252" s="2" t="s">
        <v>20</v>
      </c>
      <c r="D252" s="2" t="s">
        <v>21</v>
      </c>
      <c r="E252" s="2" t="s">
        <v>98</v>
      </c>
      <c r="F252" s="2" t="s">
        <v>41</v>
      </c>
      <c r="G252" s="2" t="s">
        <v>24</v>
      </c>
      <c r="H252" s="2" t="s">
        <v>25</v>
      </c>
      <c r="I252" s="2" t="s">
        <v>26</v>
      </c>
      <c r="J252" s="2" t="s">
        <v>76</v>
      </c>
      <c r="K252" s="2" t="s">
        <v>77</v>
      </c>
      <c r="L252" s="2" t="s">
        <v>87</v>
      </c>
      <c r="M252" s="2">
        <v>3</v>
      </c>
      <c r="N252" s="3">
        <v>700000</v>
      </c>
      <c r="O252" s="3">
        <v>698393.94</v>
      </c>
      <c r="P252" s="4">
        <v>5</v>
      </c>
      <c r="Q252" s="2">
        <v>0</v>
      </c>
      <c r="R252" s="3">
        <v>2095181.82</v>
      </c>
      <c r="S252" s="3">
        <v>104759.09</v>
      </c>
      <c r="T252" s="3">
        <v>1990422.73</v>
      </c>
      <c r="U252" t="str">
        <f t="shared" si="3"/>
        <v>Not achive</v>
      </c>
    </row>
    <row r="253" spans="1:21" x14ac:dyDescent="0.3">
      <c r="A253" s="2">
        <v>800188</v>
      </c>
      <c r="B253" s="10">
        <v>45536</v>
      </c>
      <c r="C253" s="2" t="s">
        <v>69</v>
      </c>
      <c r="D253" s="2" t="s">
        <v>83</v>
      </c>
      <c r="E253" s="2" t="s">
        <v>84</v>
      </c>
      <c r="F253" s="2" t="s">
        <v>32</v>
      </c>
      <c r="G253" s="2" t="s">
        <v>66</v>
      </c>
      <c r="H253" s="2" t="s">
        <v>25</v>
      </c>
      <c r="I253" s="2" t="s">
        <v>26</v>
      </c>
      <c r="J253" s="2" t="s">
        <v>127</v>
      </c>
      <c r="K253" s="2" t="s">
        <v>130</v>
      </c>
      <c r="L253" s="2" t="s">
        <v>87</v>
      </c>
      <c r="M253" s="2">
        <v>3</v>
      </c>
      <c r="N253" s="3">
        <v>650000</v>
      </c>
      <c r="O253" s="3">
        <v>640858.87</v>
      </c>
      <c r="P253" s="4">
        <v>10</v>
      </c>
      <c r="Q253" s="2">
        <v>0</v>
      </c>
      <c r="R253" s="3">
        <v>1922576.61</v>
      </c>
      <c r="S253" s="3">
        <v>192257.66</v>
      </c>
      <c r="T253" s="3">
        <v>1730318.95</v>
      </c>
      <c r="U253" t="str">
        <f t="shared" si="3"/>
        <v>Not achive</v>
      </c>
    </row>
    <row r="254" spans="1:21" x14ac:dyDescent="0.3">
      <c r="A254" s="2">
        <v>800219</v>
      </c>
      <c r="B254" s="10">
        <v>45536</v>
      </c>
      <c r="C254" s="2" t="s">
        <v>38</v>
      </c>
      <c r="D254" s="2" t="s">
        <v>118</v>
      </c>
      <c r="E254" s="2" t="s">
        <v>125</v>
      </c>
      <c r="F254" s="2" t="s">
        <v>23</v>
      </c>
      <c r="G254" s="2" t="s">
        <v>90</v>
      </c>
      <c r="H254" s="2" t="s">
        <v>25</v>
      </c>
      <c r="I254" s="2" t="s">
        <v>67</v>
      </c>
      <c r="J254" s="2" t="s">
        <v>108</v>
      </c>
      <c r="K254" s="2" t="s">
        <v>62</v>
      </c>
      <c r="L254" s="2" t="s">
        <v>123</v>
      </c>
      <c r="M254" s="2">
        <v>2</v>
      </c>
      <c r="N254" s="3">
        <v>1800000</v>
      </c>
      <c r="O254" s="3">
        <v>1754786.07</v>
      </c>
      <c r="P254" s="4">
        <v>12.5</v>
      </c>
      <c r="Q254" s="2">
        <v>0</v>
      </c>
      <c r="R254" s="3">
        <v>3509572.14</v>
      </c>
      <c r="S254" s="3">
        <v>438696.52</v>
      </c>
      <c r="T254" s="3">
        <v>3070875.62</v>
      </c>
      <c r="U254" t="str">
        <f t="shared" si="3"/>
        <v>Achive</v>
      </c>
    </row>
    <row r="255" spans="1:21" x14ac:dyDescent="0.3">
      <c r="A255" s="2">
        <v>800514</v>
      </c>
      <c r="B255" s="10">
        <v>45536</v>
      </c>
      <c r="C255" s="2" t="s">
        <v>51</v>
      </c>
      <c r="D255" s="2" t="s">
        <v>55</v>
      </c>
      <c r="E255" s="2" t="s">
        <v>137</v>
      </c>
      <c r="F255" s="2" t="s">
        <v>41</v>
      </c>
      <c r="G255" s="2" t="s">
        <v>66</v>
      </c>
      <c r="H255" s="2" t="s">
        <v>25</v>
      </c>
      <c r="I255" s="2" t="s">
        <v>34</v>
      </c>
      <c r="J255" s="2" t="s">
        <v>35</v>
      </c>
      <c r="K255" s="2" t="s">
        <v>36</v>
      </c>
      <c r="L255" s="2" t="s">
        <v>122</v>
      </c>
      <c r="M255" s="2">
        <v>2</v>
      </c>
      <c r="N255" s="3">
        <v>550000</v>
      </c>
      <c r="O255" s="3">
        <v>548748.07999999996</v>
      </c>
      <c r="P255" s="4">
        <v>10</v>
      </c>
      <c r="Q255" s="2">
        <v>0</v>
      </c>
      <c r="R255" s="3">
        <v>1097496.1599999999</v>
      </c>
      <c r="S255" s="3">
        <v>109749.62</v>
      </c>
      <c r="T255" s="3">
        <v>987746.54</v>
      </c>
      <c r="U255" t="str">
        <f t="shared" si="3"/>
        <v>Not achive</v>
      </c>
    </row>
    <row r="256" spans="1:21" x14ac:dyDescent="0.3">
      <c r="A256" s="2">
        <v>800051</v>
      </c>
      <c r="B256" s="10">
        <v>45537</v>
      </c>
      <c r="C256" s="2" t="s">
        <v>51</v>
      </c>
      <c r="D256" s="2" t="s">
        <v>55</v>
      </c>
      <c r="E256" s="2" t="s">
        <v>104</v>
      </c>
      <c r="F256" s="2" t="s">
        <v>23</v>
      </c>
      <c r="G256" s="2" t="s">
        <v>33</v>
      </c>
      <c r="H256" s="2" t="s">
        <v>25</v>
      </c>
      <c r="I256" s="2" t="s">
        <v>26</v>
      </c>
      <c r="J256" s="2" t="s">
        <v>76</v>
      </c>
      <c r="K256" s="2" t="s">
        <v>77</v>
      </c>
      <c r="L256" s="2" t="s">
        <v>92</v>
      </c>
      <c r="M256" s="2">
        <v>3</v>
      </c>
      <c r="N256" s="3">
        <v>700000</v>
      </c>
      <c r="O256" s="3">
        <v>708070.01</v>
      </c>
      <c r="P256" s="4">
        <v>2</v>
      </c>
      <c r="Q256" s="2">
        <v>0</v>
      </c>
      <c r="R256" s="3">
        <v>2124210.0299999998</v>
      </c>
      <c r="S256" s="3">
        <v>42484.2</v>
      </c>
      <c r="T256" s="3">
        <v>2081725.83</v>
      </c>
      <c r="U256" t="str">
        <f t="shared" si="3"/>
        <v>Achive</v>
      </c>
    </row>
    <row r="257" spans="1:21" x14ac:dyDescent="0.3">
      <c r="A257" s="2">
        <v>800091</v>
      </c>
      <c r="B257" s="10">
        <v>45537</v>
      </c>
      <c r="C257" s="2" t="s">
        <v>38</v>
      </c>
      <c r="D257" s="2" t="s">
        <v>39</v>
      </c>
      <c r="E257" s="2" t="s">
        <v>126</v>
      </c>
      <c r="F257" s="2" t="s">
        <v>23</v>
      </c>
      <c r="G257" s="2" t="s">
        <v>116</v>
      </c>
      <c r="H257" s="2" t="s">
        <v>25</v>
      </c>
      <c r="I257" s="2" t="s">
        <v>67</v>
      </c>
      <c r="J257" s="2" t="s">
        <v>112</v>
      </c>
      <c r="K257" s="2" t="s">
        <v>99</v>
      </c>
      <c r="L257" s="2" t="s">
        <v>92</v>
      </c>
      <c r="M257" s="2">
        <v>1</v>
      </c>
      <c r="N257" s="3">
        <v>1250000</v>
      </c>
      <c r="O257" s="3">
        <v>1252978.27</v>
      </c>
      <c r="P257" s="4">
        <v>12.5</v>
      </c>
      <c r="Q257" s="2">
        <v>0</v>
      </c>
      <c r="R257" s="3">
        <v>1252978.27</v>
      </c>
      <c r="S257" s="3">
        <v>156622.28</v>
      </c>
      <c r="T257" s="3">
        <v>1096355.99</v>
      </c>
      <c r="U257" t="str">
        <f t="shared" si="3"/>
        <v>Not achive</v>
      </c>
    </row>
    <row r="258" spans="1:21" x14ac:dyDescent="0.3">
      <c r="A258" s="2">
        <v>800428</v>
      </c>
      <c r="B258" s="10">
        <v>45537</v>
      </c>
      <c r="C258" s="2" t="s">
        <v>38</v>
      </c>
      <c r="D258" s="2" t="s">
        <v>63</v>
      </c>
      <c r="E258" s="2" t="s">
        <v>64</v>
      </c>
      <c r="F258" s="2" t="s">
        <v>23</v>
      </c>
      <c r="G258" s="2" t="s">
        <v>116</v>
      </c>
      <c r="H258" s="2" t="s">
        <v>25</v>
      </c>
      <c r="I258" s="2" t="s">
        <v>26</v>
      </c>
      <c r="J258" s="2" t="s">
        <v>120</v>
      </c>
      <c r="K258" s="2" t="s">
        <v>49</v>
      </c>
      <c r="L258" s="2" t="s">
        <v>78</v>
      </c>
      <c r="M258" s="2">
        <v>3</v>
      </c>
      <c r="N258" s="3">
        <v>1900000</v>
      </c>
      <c r="O258" s="3">
        <v>1844548.73</v>
      </c>
      <c r="P258" s="4">
        <v>0</v>
      </c>
      <c r="Q258" s="2">
        <v>0</v>
      </c>
      <c r="R258" s="3">
        <v>5533646.1900000004</v>
      </c>
      <c r="S258" s="3">
        <v>0</v>
      </c>
      <c r="T258" s="3">
        <v>5533646.1900000004</v>
      </c>
      <c r="U258" t="str">
        <f t="shared" ref="U258:U321" si="4">IF(T258&gt;2000000,"Achive","Not achive")</f>
        <v>Achive</v>
      </c>
    </row>
    <row r="259" spans="1:21" x14ac:dyDescent="0.3">
      <c r="A259" s="2">
        <v>800472</v>
      </c>
      <c r="B259" s="10">
        <v>45537</v>
      </c>
      <c r="C259" s="2" t="s">
        <v>38</v>
      </c>
      <c r="D259" s="2" t="s">
        <v>39</v>
      </c>
      <c r="E259" s="2" t="s">
        <v>40</v>
      </c>
      <c r="F259" s="2" t="s">
        <v>23</v>
      </c>
      <c r="G259" s="2" t="s">
        <v>61</v>
      </c>
      <c r="H259" s="2" t="s">
        <v>25</v>
      </c>
      <c r="I259" s="2" t="s">
        <v>26</v>
      </c>
      <c r="J259" s="2" t="s">
        <v>48</v>
      </c>
      <c r="K259" s="2" t="s">
        <v>49</v>
      </c>
      <c r="L259" s="2" t="s">
        <v>123</v>
      </c>
      <c r="M259" s="2">
        <v>2</v>
      </c>
      <c r="N259" s="3">
        <v>1200000</v>
      </c>
      <c r="O259" s="3">
        <v>1213767.45</v>
      </c>
      <c r="P259" s="4">
        <v>5</v>
      </c>
      <c r="Q259" s="2">
        <v>0</v>
      </c>
      <c r="R259" s="3">
        <v>2427534.9</v>
      </c>
      <c r="S259" s="3">
        <v>121376.74</v>
      </c>
      <c r="T259" s="3">
        <v>2306158.16</v>
      </c>
      <c r="U259" t="str">
        <f t="shared" si="4"/>
        <v>Achive</v>
      </c>
    </row>
    <row r="260" spans="1:21" x14ac:dyDescent="0.3">
      <c r="A260" s="2">
        <v>800589</v>
      </c>
      <c r="B260" s="10">
        <v>45537</v>
      </c>
      <c r="C260" s="2" t="s">
        <v>51</v>
      </c>
      <c r="D260" s="2" t="s">
        <v>55</v>
      </c>
      <c r="E260" s="2" t="s">
        <v>137</v>
      </c>
      <c r="F260" s="2" t="s">
        <v>41</v>
      </c>
      <c r="G260" s="2" t="s">
        <v>54</v>
      </c>
      <c r="H260" s="2" t="s">
        <v>25</v>
      </c>
      <c r="I260" s="2" t="s">
        <v>34</v>
      </c>
      <c r="J260" s="2" t="s">
        <v>35</v>
      </c>
      <c r="K260" s="2" t="s">
        <v>36</v>
      </c>
      <c r="L260" s="2" t="s">
        <v>87</v>
      </c>
      <c r="M260" s="2">
        <v>2</v>
      </c>
      <c r="N260" s="3">
        <v>550000</v>
      </c>
      <c r="O260" s="3">
        <v>543051.19999999995</v>
      </c>
      <c r="P260" s="4">
        <v>0</v>
      </c>
      <c r="Q260" s="2">
        <v>0</v>
      </c>
      <c r="R260" s="3">
        <v>1086102.3999999999</v>
      </c>
      <c r="S260" s="3">
        <v>0</v>
      </c>
      <c r="T260" s="3">
        <v>1086102.3999999999</v>
      </c>
      <c r="U260" t="str">
        <f t="shared" si="4"/>
        <v>Not achive</v>
      </c>
    </row>
    <row r="261" spans="1:21" x14ac:dyDescent="0.3">
      <c r="A261" s="2">
        <v>800293</v>
      </c>
      <c r="B261" s="10">
        <v>45538</v>
      </c>
      <c r="C261" s="2" t="s">
        <v>20</v>
      </c>
      <c r="D261" s="2" t="s">
        <v>21</v>
      </c>
      <c r="E261" s="2" t="s">
        <v>22</v>
      </c>
      <c r="F261" s="2" t="s">
        <v>65</v>
      </c>
      <c r="G261" s="2" t="s">
        <v>33</v>
      </c>
      <c r="H261" s="2" t="s">
        <v>25</v>
      </c>
      <c r="I261" s="2" t="s">
        <v>26</v>
      </c>
      <c r="J261" s="2" t="s">
        <v>76</v>
      </c>
      <c r="K261" s="2" t="s">
        <v>77</v>
      </c>
      <c r="L261" s="2" t="s">
        <v>37</v>
      </c>
      <c r="M261" s="2">
        <v>2</v>
      </c>
      <c r="N261" s="3">
        <v>700000</v>
      </c>
      <c r="O261" s="3">
        <v>710396.1</v>
      </c>
      <c r="P261" s="4">
        <v>0</v>
      </c>
      <c r="Q261" s="2">
        <v>0</v>
      </c>
      <c r="R261" s="3">
        <v>1420792.2</v>
      </c>
      <c r="S261" s="3">
        <v>0</v>
      </c>
      <c r="T261" s="3">
        <v>1420792.2</v>
      </c>
      <c r="U261" t="str">
        <f t="shared" si="4"/>
        <v>Not achive</v>
      </c>
    </row>
    <row r="262" spans="1:21" x14ac:dyDescent="0.3">
      <c r="A262" s="2">
        <v>800565</v>
      </c>
      <c r="B262" s="10">
        <v>45538</v>
      </c>
      <c r="C262" s="2" t="s">
        <v>20</v>
      </c>
      <c r="D262" s="2" t="s">
        <v>74</v>
      </c>
      <c r="E262" s="2" t="s">
        <v>113</v>
      </c>
      <c r="F262" s="2" t="s">
        <v>65</v>
      </c>
      <c r="G262" s="2" t="s">
        <v>100</v>
      </c>
      <c r="H262" s="2" t="s">
        <v>25</v>
      </c>
      <c r="I262" s="2" t="s">
        <v>43</v>
      </c>
      <c r="J262" s="2" t="s">
        <v>44</v>
      </c>
      <c r="K262" s="2" t="s">
        <v>129</v>
      </c>
      <c r="L262" s="2" t="s">
        <v>92</v>
      </c>
      <c r="M262" s="2">
        <v>5</v>
      </c>
      <c r="N262" s="3">
        <v>800000</v>
      </c>
      <c r="O262" s="3">
        <v>806543.58</v>
      </c>
      <c r="P262" s="4">
        <v>7.5</v>
      </c>
      <c r="Q262" s="2">
        <v>0</v>
      </c>
      <c r="R262" s="3">
        <v>4032717.9</v>
      </c>
      <c r="S262" s="3">
        <v>302453.84000000003</v>
      </c>
      <c r="T262" s="3">
        <v>3730264.06</v>
      </c>
      <c r="U262" t="str">
        <f t="shared" si="4"/>
        <v>Achive</v>
      </c>
    </row>
    <row r="263" spans="1:21" x14ac:dyDescent="0.3">
      <c r="A263" s="2">
        <v>800356</v>
      </c>
      <c r="B263" s="10">
        <v>45539</v>
      </c>
      <c r="C263" s="2" t="s">
        <v>69</v>
      </c>
      <c r="D263" s="2" t="s">
        <v>83</v>
      </c>
      <c r="E263" s="2" t="s">
        <v>97</v>
      </c>
      <c r="F263" s="2" t="s">
        <v>41</v>
      </c>
      <c r="G263" s="2" t="s">
        <v>47</v>
      </c>
      <c r="H263" s="2" t="s">
        <v>25</v>
      </c>
      <c r="I263" s="2" t="s">
        <v>67</v>
      </c>
      <c r="J263" s="2" t="s">
        <v>112</v>
      </c>
      <c r="K263" s="2" t="s">
        <v>58</v>
      </c>
      <c r="L263" s="2" t="s">
        <v>122</v>
      </c>
      <c r="M263" s="2">
        <v>2</v>
      </c>
      <c r="N263" s="3">
        <v>1250000</v>
      </c>
      <c r="O263" s="3">
        <v>1242866.33</v>
      </c>
      <c r="P263" s="4">
        <v>7.5</v>
      </c>
      <c r="Q263" s="2">
        <v>0</v>
      </c>
      <c r="R263" s="3">
        <v>2485732.66</v>
      </c>
      <c r="S263" s="3">
        <v>186429.95</v>
      </c>
      <c r="T263" s="3">
        <v>2299302.71</v>
      </c>
      <c r="U263" t="str">
        <f t="shared" si="4"/>
        <v>Achive</v>
      </c>
    </row>
    <row r="264" spans="1:21" x14ac:dyDescent="0.3">
      <c r="A264" s="2">
        <v>800109</v>
      </c>
      <c r="B264" s="10">
        <v>45540</v>
      </c>
      <c r="C264" s="2" t="s">
        <v>20</v>
      </c>
      <c r="D264" s="2" t="s">
        <v>74</v>
      </c>
      <c r="E264" s="2" t="s">
        <v>75</v>
      </c>
      <c r="F264" s="2" t="s">
        <v>32</v>
      </c>
      <c r="G264" s="2" t="s">
        <v>61</v>
      </c>
      <c r="H264" s="2" t="s">
        <v>25</v>
      </c>
      <c r="I264" s="2" t="s">
        <v>26</v>
      </c>
      <c r="J264" s="2" t="s">
        <v>105</v>
      </c>
      <c r="K264" s="2" t="s">
        <v>89</v>
      </c>
      <c r="L264" s="2" t="s">
        <v>50</v>
      </c>
      <c r="M264" s="2">
        <v>2</v>
      </c>
      <c r="N264" s="3">
        <v>950000</v>
      </c>
      <c r="O264" s="3">
        <v>953715.35</v>
      </c>
      <c r="P264" s="4">
        <v>12.5</v>
      </c>
      <c r="Q264" s="2">
        <v>0</v>
      </c>
      <c r="R264" s="3">
        <v>1907430.7</v>
      </c>
      <c r="S264" s="3">
        <v>238428.84</v>
      </c>
      <c r="T264" s="3">
        <v>1669001.86</v>
      </c>
      <c r="U264" t="str">
        <f t="shared" si="4"/>
        <v>Not achive</v>
      </c>
    </row>
    <row r="265" spans="1:21" x14ac:dyDescent="0.3">
      <c r="A265" s="2">
        <v>800180</v>
      </c>
      <c r="B265" s="10">
        <v>45540</v>
      </c>
      <c r="C265" s="2" t="s">
        <v>51</v>
      </c>
      <c r="D265" s="2" t="s">
        <v>110</v>
      </c>
      <c r="E265" s="2" t="s">
        <v>134</v>
      </c>
      <c r="F265" s="2" t="s">
        <v>23</v>
      </c>
      <c r="G265" s="2" t="s">
        <v>100</v>
      </c>
      <c r="H265" s="2" t="s">
        <v>25</v>
      </c>
      <c r="I265" s="2" t="s">
        <v>67</v>
      </c>
      <c r="J265" s="2" t="s">
        <v>108</v>
      </c>
      <c r="K265" s="2" t="s">
        <v>62</v>
      </c>
      <c r="L265" s="2" t="s">
        <v>37</v>
      </c>
      <c r="M265" s="2">
        <v>3</v>
      </c>
      <c r="N265" s="3">
        <v>1800000</v>
      </c>
      <c r="O265" s="3">
        <v>1751196.31</v>
      </c>
      <c r="P265" s="4">
        <v>12.5</v>
      </c>
      <c r="Q265" s="2">
        <v>0</v>
      </c>
      <c r="R265" s="3">
        <v>5253588.93</v>
      </c>
      <c r="S265" s="3">
        <v>656698.62</v>
      </c>
      <c r="T265" s="3">
        <v>4596890.3099999996</v>
      </c>
      <c r="U265" t="str">
        <f t="shared" si="4"/>
        <v>Achive</v>
      </c>
    </row>
    <row r="266" spans="1:21" x14ac:dyDescent="0.3">
      <c r="A266" s="2">
        <v>800471</v>
      </c>
      <c r="B266" s="10">
        <v>45540</v>
      </c>
      <c r="C266" s="2" t="s">
        <v>38</v>
      </c>
      <c r="D266" s="2" t="s">
        <v>39</v>
      </c>
      <c r="E266" s="2" t="s">
        <v>40</v>
      </c>
      <c r="F266" s="2" t="s">
        <v>23</v>
      </c>
      <c r="G266" s="2" t="s">
        <v>42</v>
      </c>
      <c r="H266" s="2" t="s">
        <v>25</v>
      </c>
      <c r="I266" s="2" t="s">
        <v>67</v>
      </c>
      <c r="J266" s="2" t="s">
        <v>108</v>
      </c>
      <c r="K266" s="2" t="s">
        <v>89</v>
      </c>
      <c r="L266" s="2" t="s">
        <v>92</v>
      </c>
      <c r="M266" s="2">
        <v>3</v>
      </c>
      <c r="N266" s="3">
        <v>1800000</v>
      </c>
      <c r="O266" s="3">
        <v>1781060.96</v>
      </c>
      <c r="P266" s="4">
        <v>0</v>
      </c>
      <c r="Q266" s="2">
        <v>0</v>
      </c>
      <c r="R266" s="3">
        <v>5343182.88</v>
      </c>
      <c r="S266" s="3">
        <v>0</v>
      </c>
      <c r="T266" s="3">
        <v>5343182.88</v>
      </c>
      <c r="U266" t="str">
        <f t="shared" si="4"/>
        <v>Achive</v>
      </c>
    </row>
    <row r="267" spans="1:21" x14ac:dyDescent="0.3">
      <c r="A267" s="2">
        <v>800446</v>
      </c>
      <c r="B267" s="10">
        <v>45541</v>
      </c>
      <c r="C267" s="2" t="s">
        <v>69</v>
      </c>
      <c r="D267" s="2" t="s">
        <v>70</v>
      </c>
      <c r="E267" s="2" t="s">
        <v>93</v>
      </c>
      <c r="F267" s="2" t="s">
        <v>32</v>
      </c>
      <c r="G267" s="2" t="s">
        <v>24</v>
      </c>
      <c r="H267" s="2" t="s">
        <v>25</v>
      </c>
      <c r="I267" s="2" t="s">
        <v>26</v>
      </c>
      <c r="J267" s="2" t="s">
        <v>48</v>
      </c>
      <c r="K267" s="2" t="s">
        <v>62</v>
      </c>
      <c r="L267" s="2" t="s">
        <v>73</v>
      </c>
      <c r="M267" s="2">
        <v>1</v>
      </c>
      <c r="N267" s="3">
        <v>1200000</v>
      </c>
      <c r="O267" s="3">
        <v>1203148.3600000001</v>
      </c>
      <c r="P267" s="4">
        <v>2</v>
      </c>
      <c r="Q267" s="2">
        <v>0</v>
      </c>
      <c r="R267" s="3">
        <v>1203148.3600000001</v>
      </c>
      <c r="S267" s="3">
        <v>24062.97</v>
      </c>
      <c r="T267" s="3">
        <v>1179085.3899999999</v>
      </c>
      <c r="U267" t="str">
        <f t="shared" si="4"/>
        <v>Not achive</v>
      </c>
    </row>
    <row r="268" spans="1:21" x14ac:dyDescent="0.3">
      <c r="A268" s="2">
        <v>800480</v>
      </c>
      <c r="B268" s="10">
        <v>45541</v>
      </c>
      <c r="C268" s="2" t="s">
        <v>38</v>
      </c>
      <c r="D268" s="2" t="s">
        <v>79</v>
      </c>
      <c r="E268" s="2" t="s">
        <v>138</v>
      </c>
      <c r="F268" s="2" t="s">
        <v>32</v>
      </c>
      <c r="G268" s="2" t="s">
        <v>61</v>
      </c>
      <c r="H268" s="2" t="s">
        <v>25</v>
      </c>
      <c r="I268" s="2" t="s">
        <v>43</v>
      </c>
      <c r="J268" s="2" t="s">
        <v>101</v>
      </c>
      <c r="K268" s="2" t="s">
        <v>102</v>
      </c>
      <c r="L268" s="2" t="s">
        <v>92</v>
      </c>
      <c r="M268" s="2">
        <v>2</v>
      </c>
      <c r="N268" s="3">
        <v>1000000</v>
      </c>
      <c r="O268" s="3">
        <v>974645.81</v>
      </c>
      <c r="P268" s="4">
        <v>12.5</v>
      </c>
      <c r="Q268" s="2">
        <v>0</v>
      </c>
      <c r="R268" s="3">
        <v>1949291.62</v>
      </c>
      <c r="S268" s="3">
        <v>243661.45</v>
      </c>
      <c r="T268" s="3">
        <v>1705630.17</v>
      </c>
      <c r="U268" t="str">
        <f t="shared" si="4"/>
        <v>Not achive</v>
      </c>
    </row>
    <row r="269" spans="1:21" x14ac:dyDescent="0.3">
      <c r="A269" s="2">
        <v>800593</v>
      </c>
      <c r="B269" s="10">
        <v>45541</v>
      </c>
      <c r="C269" s="2" t="s">
        <v>38</v>
      </c>
      <c r="D269" s="2" t="s">
        <v>118</v>
      </c>
      <c r="E269" s="2" t="s">
        <v>119</v>
      </c>
      <c r="F269" s="2" t="s">
        <v>65</v>
      </c>
      <c r="G269" s="2" t="s">
        <v>42</v>
      </c>
      <c r="H269" s="2" t="s">
        <v>25</v>
      </c>
      <c r="I269" s="2" t="s">
        <v>67</v>
      </c>
      <c r="J269" s="2" t="s">
        <v>112</v>
      </c>
      <c r="K269" s="2" t="s">
        <v>58</v>
      </c>
      <c r="L269" s="2" t="s">
        <v>87</v>
      </c>
      <c r="M269" s="2">
        <v>1</v>
      </c>
      <c r="N269" s="3">
        <v>1250000</v>
      </c>
      <c r="O269" s="3">
        <v>1219597.4099999999</v>
      </c>
      <c r="P269" s="4">
        <v>2</v>
      </c>
      <c r="Q269" s="2">
        <v>0</v>
      </c>
      <c r="R269" s="3">
        <v>1219597.4099999999</v>
      </c>
      <c r="S269" s="3">
        <v>24391.95</v>
      </c>
      <c r="T269" s="3">
        <v>1195205.46</v>
      </c>
      <c r="U269" t="str">
        <f t="shared" si="4"/>
        <v>Not achive</v>
      </c>
    </row>
    <row r="270" spans="1:21" x14ac:dyDescent="0.3">
      <c r="A270" s="2">
        <v>800479</v>
      </c>
      <c r="B270" s="10">
        <v>45542</v>
      </c>
      <c r="C270" s="2" t="s">
        <v>51</v>
      </c>
      <c r="D270" s="2" t="s">
        <v>106</v>
      </c>
      <c r="E270" s="2" t="s">
        <v>107</v>
      </c>
      <c r="F270" s="2" t="s">
        <v>41</v>
      </c>
      <c r="G270" s="2" t="s">
        <v>61</v>
      </c>
      <c r="H270" s="2" t="s">
        <v>25</v>
      </c>
      <c r="I270" s="2" t="s">
        <v>67</v>
      </c>
      <c r="J270" s="2" t="s">
        <v>85</v>
      </c>
      <c r="K270" s="2" t="s">
        <v>86</v>
      </c>
      <c r="L270" s="2" t="s">
        <v>73</v>
      </c>
      <c r="M270" s="2">
        <v>3</v>
      </c>
      <c r="N270" s="3">
        <v>1500000</v>
      </c>
      <c r="O270" s="3">
        <v>1499709.1</v>
      </c>
      <c r="P270" s="4">
        <v>12.5</v>
      </c>
      <c r="Q270" s="2">
        <v>0</v>
      </c>
      <c r="R270" s="3">
        <v>4499127.3</v>
      </c>
      <c r="S270" s="3">
        <v>562390.91</v>
      </c>
      <c r="T270" s="3">
        <v>3936736.39</v>
      </c>
      <c r="U270" t="str">
        <f t="shared" si="4"/>
        <v>Achive</v>
      </c>
    </row>
    <row r="271" spans="1:21" x14ac:dyDescent="0.3">
      <c r="A271" s="2">
        <v>800034</v>
      </c>
      <c r="B271" s="10">
        <v>45543</v>
      </c>
      <c r="C271" s="2" t="s">
        <v>38</v>
      </c>
      <c r="D271" s="2" t="s">
        <v>39</v>
      </c>
      <c r="E271" s="2" t="s">
        <v>126</v>
      </c>
      <c r="F271" s="2" t="s">
        <v>65</v>
      </c>
      <c r="G271" s="2" t="s">
        <v>100</v>
      </c>
      <c r="H271" s="2" t="s">
        <v>25</v>
      </c>
      <c r="I271" s="2" t="s">
        <v>67</v>
      </c>
      <c r="J271" s="2" t="s">
        <v>112</v>
      </c>
      <c r="K271" s="2" t="s">
        <v>99</v>
      </c>
      <c r="L271" s="2" t="s">
        <v>29</v>
      </c>
      <c r="M271" s="2">
        <v>1</v>
      </c>
      <c r="N271" s="3">
        <v>1250000</v>
      </c>
      <c r="O271" s="3">
        <v>1249785.7</v>
      </c>
      <c r="P271" s="4">
        <v>7.5</v>
      </c>
      <c r="Q271" s="2">
        <v>0</v>
      </c>
      <c r="R271" s="3">
        <v>1249785.7</v>
      </c>
      <c r="S271" s="3">
        <v>93733.93</v>
      </c>
      <c r="T271" s="3">
        <v>1156051.77</v>
      </c>
      <c r="U271" t="str">
        <f t="shared" si="4"/>
        <v>Not achive</v>
      </c>
    </row>
    <row r="272" spans="1:21" x14ac:dyDescent="0.3">
      <c r="A272" s="2">
        <v>800571</v>
      </c>
      <c r="B272" s="10">
        <v>45543</v>
      </c>
      <c r="C272" s="2" t="s">
        <v>20</v>
      </c>
      <c r="D272" s="2" t="s">
        <v>74</v>
      </c>
      <c r="E272" s="2" t="s">
        <v>75</v>
      </c>
      <c r="F272" s="2" t="s">
        <v>23</v>
      </c>
      <c r="G272" s="2" t="s">
        <v>42</v>
      </c>
      <c r="H272" s="2" t="s">
        <v>25</v>
      </c>
      <c r="I272" s="2" t="s">
        <v>26</v>
      </c>
      <c r="J272" s="2" t="s">
        <v>27</v>
      </c>
      <c r="K272" s="2" t="s">
        <v>58</v>
      </c>
      <c r="L272" s="2" t="s">
        <v>123</v>
      </c>
      <c r="M272" s="2">
        <v>2</v>
      </c>
      <c r="N272" s="3">
        <v>750000</v>
      </c>
      <c r="O272" s="3">
        <v>743403.44</v>
      </c>
      <c r="P272" s="4">
        <v>2</v>
      </c>
      <c r="Q272" s="2">
        <v>0</v>
      </c>
      <c r="R272" s="3">
        <v>1486806.88</v>
      </c>
      <c r="S272" s="3">
        <v>29736.14</v>
      </c>
      <c r="T272" s="3">
        <v>1457070.74</v>
      </c>
      <c r="U272" t="str">
        <f t="shared" si="4"/>
        <v>Not achive</v>
      </c>
    </row>
    <row r="273" spans="1:21" x14ac:dyDescent="0.3">
      <c r="A273" s="2">
        <v>800259</v>
      </c>
      <c r="B273" s="10">
        <v>45544</v>
      </c>
      <c r="C273" s="2" t="s">
        <v>51</v>
      </c>
      <c r="D273" s="2" t="s">
        <v>52</v>
      </c>
      <c r="E273" s="2" t="s">
        <v>132</v>
      </c>
      <c r="F273" s="2" t="s">
        <v>41</v>
      </c>
      <c r="G273" s="2" t="s">
        <v>54</v>
      </c>
      <c r="H273" s="2" t="s">
        <v>25</v>
      </c>
      <c r="I273" s="2" t="s">
        <v>67</v>
      </c>
      <c r="J273" s="2" t="s">
        <v>112</v>
      </c>
      <c r="K273" s="2" t="s">
        <v>58</v>
      </c>
      <c r="L273" s="2" t="s">
        <v>87</v>
      </c>
      <c r="M273" s="2">
        <v>3</v>
      </c>
      <c r="N273" s="3">
        <v>1250000</v>
      </c>
      <c r="O273" s="3">
        <v>1272763.6399999999</v>
      </c>
      <c r="P273" s="4">
        <v>2</v>
      </c>
      <c r="Q273" s="2">
        <v>0</v>
      </c>
      <c r="R273" s="3">
        <v>3818290.92</v>
      </c>
      <c r="S273" s="3">
        <v>76365.820000000007</v>
      </c>
      <c r="T273" s="3">
        <v>3741925.1</v>
      </c>
      <c r="U273" t="str">
        <f t="shared" si="4"/>
        <v>Achive</v>
      </c>
    </row>
    <row r="274" spans="1:21" x14ac:dyDescent="0.3">
      <c r="A274" s="2">
        <v>800426</v>
      </c>
      <c r="B274" s="10">
        <v>45544</v>
      </c>
      <c r="C274" s="2" t="s">
        <v>20</v>
      </c>
      <c r="D274" s="2" t="s">
        <v>21</v>
      </c>
      <c r="E274" s="2" t="s">
        <v>98</v>
      </c>
      <c r="F274" s="2" t="s">
        <v>46</v>
      </c>
      <c r="G274" s="2" t="s">
        <v>94</v>
      </c>
      <c r="H274" s="2" t="s">
        <v>25</v>
      </c>
      <c r="I274" s="2" t="s">
        <v>67</v>
      </c>
      <c r="J274" s="2" t="s">
        <v>85</v>
      </c>
      <c r="K274" s="2" t="s">
        <v>91</v>
      </c>
      <c r="L274" s="2" t="s">
        <v>123</v>
      </c>
      <c r="M274" s="2">
        <v>3</v>
      </c>
      <c r="N274" s="3">
        <v>1500000</v>
      </c>
      <c r="O274" s="3">
        <v>1466863.23</v>
      </c>
      <c r="P274" s="4">
        <v>12.5</v>
      </c>
      <c r="Q274" s="2">
        <v>0</v>
      </c>
      <c r="R274" s="3">
        <v>4400589.6900000004</v>
      </c>
      <c r="S274" s="3">
        <v>550073.71</v>
      </c>
      <c r="T274" s="3">
        <v>3850515.98</v>
      </c>
      <c r="U274" t="str">
        <f t="shared" si="4"/>
        <v>Achive</v>
      </c>
    </row>
    <row r="275" spans="1:21" x14ac:dyDescent="0.3">
      <c r="A275" s="2">
        <v>800580</v>
      </c>
      <c r="B275" s="10">
        <v>45544</v>
      </c>
      <c r="C275" s="2" t="s">
        <v>20</v>
      </c>
      <c r="D275" s="2" t="s">
        <v>30</v>
      </c>
      <c r="E275" s="2" t="s">
        <v>88</v>
      </c>
      <c r="F275" s="2" t="s">
        <v>32</v>
      </c>
      <c r="G275" s="2" t="s">
        <v>24</v>
      </c>
      <c r="H275" s="2" t="s">
        <v>25</v>
      </c>
      <c r="I275" s="2" t="s">
        <v>34</v>
      </c>
      <c r="J275" s="2" t="s">
        <v>35</v>
      </c>
      <c r="K275" s="2" t="s">
        <v>45</v>
      </c>
      <c r="L275" s="2" t="s">
        <v>29</v>
      </c>
      <c r="M275" s="2">
        <v>4</v>
      </c>
      <c r="N275" s="3">
        <v>550000</v>
      </c>
      <c r="O275" s="3">
        <v>557703.46</v>
      </c>
      <c r="P275" s="4">
        <v>0</v>
      </c>
      <c r="Q275" s="2">
        <v>0</v>
      </c>
      <c r="R275" s="3">
        <v>2230813.84</v>
      </c>
      <c r="S275" s="3">
        <v>0</v>
      </c>
      <c r="T275" s="3">
        <v>2230813.84</v>
      </c>
      <c r="U275" t="str">
        <f t="shared" si="4"/>
        <v>Achive</v>
      </c>
    </row>
    <row r="276" spans="1:21" x14ac:dyDescent="0.3">
      <c r="A276" s="2">
        <v>800206</v>
      </c>
      <c r="B276" s="10">
        <v>45545</v>
      </c>
      <c r="C276" s="2" t="s">
        <v>20</v>
      </c>
      <c r="D276" s="2" t="s">
        <v>21</v>
      </c>
      <c r="E276" s="2" t="s">
        <v>22</v>
      </c>
      <c r="F276" s="2" t="s">
        <v>46</v>
      </c>
      <c r="G276" s="2" t="s">
        <v>33</v>
      </c>
      <c r="H276" s="2" t="s">
        <v>25</v>
      </c>
      <c r="I276" s="2" t="s">
        <v>26</v>
      </c>
      <c r="J276" s="2" t="s">
        <v>27</v>
      </c>
      <c r="K276" s="2" t="s">
        <v>58</v>
      </c>
      <c r="L276" s="2" t="s">
        <v>78</v>
      </c>
      <c r="M276" s="2">
        <v>1</v>
      </c>
      <c r="N276" s="3">
        <v>750000</v>
      </c>
      <c r="O276" s="3">
        <v>741750</v>
      </c>
      <c r="P276" s="4">
        <v>0</v>
      </c>
      <c r="Q276" s="2">
        <v>0</v>
      </c>
      <c r="R276" s="3">
        <v>741750</v>
      </c>
      <c r="S276" s="3">
        <v>0</v>
      </c>
      <c r="T276" s="3">
        <v>741750</v>
      </c>
      <c r="U276" t="str">
        <f t="shared" si="4"/>
        <v>Not achive</v>
      </c>
    </row>
    <row r="277" spans="1:21" x14ac:dyDescent="0.3">
      <c r="A277" s="2">
        <v>800487</v>
      </c>
      <c r="B277" s="10">
        <v>45545</v>
      </c>
      <c r="C277" s="2" t="s">
        <v>51</v>
      </c>
      <c r="D277" s="2" t="s">
        <v>52</v>
      </c>
      <c r="E277" s="2" t="s">
        <v>53</v>
      </c>
      <c r="F277" s="2" t="s">
        <v>23</v>
      </c>
      <c r="G277" s="2" t="s">
        <v>94</v>
      </c>
      <c r="H277" s="2" t="s">
        <v>25</v>
      </c>
      <c r="I277" s="2" t="s">
        <v>67</v>
      </c>
      <c r="J277" s="2" t="s">
        <v>68</v>
      </c>
      <c r="K277" s="2" t="s">
        <v>117</v>
      </c>
      <c r="L277" s="2" t="s">
        <v>92</v>
      </c>
      <c r="M277" s="2">
        <v>3</v>
      </c>
      <c r="N277" s="3">
        <v>1200000</v>
      </c>
      <c r="O277" s="3">
        <v>1190829.5900000001</v>
      </c>
      <c r="P277" s="4">
        <v>2</v>
      </c>
      <c r="Q277" s="2">
        <v>0</v>
      </c>
      <c r="R277" s="3">
        <v>3572488.77</v>
      </c>
      <c r="S277" s="3">
        <v>71449.78</v>
      </c>
      <c r="T277" s="3">
        <v>3501038.99</v>
      </c>
      <c r="U277" t="str">
        <f t="shared" si="4"/>
        <v>Achive</v>
      </c>
    </row>
    <row r="278" spans="1:21" x14ac:dyDescent="0.3">
      <c r="A278" s="2">
        <v>800420</v>
      </c>
      <c r="B278" s="10">
        <v>45548</v>
      </c>
      <c r="C278" s="2" t="s">
        <v>69</v>
      </c>
      <c r="D278" s="2" t="s">
        <v>70</v>
      </c>
      <c r="E278" s="2" t="s">
        <v>136</v>
      </c>
      <c r="F278" s="2" t="s">
        <v>41</v>
      </c>
      <c r="G278" s="2" t="s">
        <v>42</v>
      </c>
      <c r="H278" s="2" t="s">
        <v>25</v>
      </c>
      <c r="I278" s="2" t="s">
        <v>67</v>
      </c>
      <c r="J278" s="2" t="s">
        <v>108</v>
      </c>
      <c r="K278" s="2" t="s">
        <v>62</v>
      </c>
      <c r="L278" s="2" t="s">
        <v>122</v>
      </c>
      <c r="M278" s="2">
        <v>3</v>
      </c>
      <c r="N278" s="3">
        <v>1800000</v>
      </c>
      <c r="O278" s="3">
        <v>1807490.18</v>
      </c>
      <c r="P278" s="4">
        <v>0</v>
      </c>
      <c r="Q278" s="2">
        <v>0</v>
      </c>
      <c r="R278" s="3">
        <v>5422470.54</v>
      </c>
      <c r="S278" s="3">
        <v>0</v>
      </c>
      <c r="T278" s="3">
        <v>5422470.54</v>
      </c>
      <c r="U278" t="str">
        <f t="shared" si="4"/>
        <v>Achive</v>
      </c>
    </row>
    <row r="279" spans="1:21" x14ac:dyDescent="0.3">
      <c r="A279" s="2">
        <v>800107</v>
      </c>
      <c r="B279" s="10">
        <v>45549</v>
      </c>
      <c r="C279" s="2" t="s">
        <v>51</v>
      </c>
      <c r="D279" s="2" t="s">
        <v>52</v>
      </c>
      <c r="E279" s="2" t="s">
        <v>109</v>
      </c>
      <c r="F279" s="2" t="s">
        <v>41</v>
      </c>
      <c r="G279" s="2" t="s">
        <v>33</v>
      </c>
      <c r="H279" s="2" t="s">
        <v>25</v>
      </c>
      <c r="I279" s="2" t="s">
        <v>67</v>
      </c>
      <c r="J279" s="2" t="s">
        <v>108</v>
      </c>
      <c r="K279" s="2" t="s">
        <v>89</v>
      </c>
      <c r="L279" s="2" t="s">
        <v>87</v>
      </c>
      <c r="M279" s="2">
        <v>2</v>
      </c>
      <c r="N279" s="3">
        <v>1800000</v>
      </c>
      <c r="O279" s="3">
        <v>1786828.12</v>
      </c>
      <c r="P279" s="4">
        <v>0</v>
      </c>
      <c r="Q279" s="2">
        <v>0</v>
      </c>
      <c r="R279" s="3">
        <v>3573656.24</v>
      </c>
      <c r="S279" s="3">
        <v>0</v>
      </c>
      <c r="T279" s="3">
        <v>3573656.24</v>
      </c>
      <c r="U279" t="str">
        <f t="shared" si="4"/>
        <v>Achive</v>
      </c>
    </row>
    <row r="280" spans="1:21" x14ac:dyDescent="0.3">
      <c r="A280" s="2">
        <v>800391</v>
      </c>
      <c r="B280" s="10">
        <v>45549</v>
      </c>
      <c r="C280" s="2" t="s">
        <v>69</v>
      </c>
      <c r="D280" s="2" t="s">
        <v>70</v>
      </c>
      <c r="E280" s="2" t="s">
        <v>71</v>
      </c>
      <c r="F280" s="2" t="s">
        <v>32</v>
      </c>
      <c r="G280" s="2" t="s">
        <v>66</v>
      </c>
      <c r="H280" s="2" t="s">
        <v>25</v>
      </c>
      <c r="I280" s="2" t="s">
        <v>26</v>
      </c>
      <c r="J280" s="2" t="s">
        <v>105</v>
      </c>
      <c r="K280" s="2" t="s">
        <v>82</v>
      </c>
      <c r="L280" s="2" t="s">
        <v>29</v>
      </c>
      <c r="M280" s="2">
        <v>1</v>
      </c>
      <c r="N280" s="3">
        <v>950000</v>
      </c>
      <c r="O280" s="3">
        <v>953519.9</v>
      </c>
      <c r="P280" s="4">
        <v>10</v>
      </c>
      <c r="Q280" s="2">
        <v>0</v>
      </c>
      <c r="R280" s="3">
        <v>953519.9</v>
      </c>
      <c r="S280" s="3">
        <v>95351.99</v>
      </c>
      <c r="T280" s="3">
        <v>858167.91</v>
      </c>
      <c r="U280" t="str">
        <f t="shared" si="4"/>
        <v>Not achive</v>
      </c>
    </row>
    <row r="281" spans="1:21" x14ac:dyDescent="0.3">
      <c r="A281" s="2">
        <v>800481</v>
      </c>
      <c r="B281" s="10">
        <v>45549</v>
      </c>
      <c r="C281" s="2" t="s">
        <v>20</v>
      </c>
      <c r="D281" s="2" t="s">
        <v>74</v>
      </c>
      <c r="E281" s="2" t="s">
        <v>75</v>
      </c>
      <c r="F281" s="2" t="s">
        <v>46</v>
      </c>
      <c r="G281" s="2" t="s">
        <v>100</v>
      </c>
      <c r="H281" s="2" t="s">
        <v>25</v>
      </c>
      <c r="I281" s="2" t="s">
        <v>43</v>
      </c>
      <c r="J281" s="2" t="s">
        <v>44</v>
      </c>
      <c r="K281" s="2" t="s">
        <v>129</v>
      </c>
      <c r="L281" s="2" t="s">
        <v>123</v>
      </c>
      <c r="M281" s="2">
        <v>4</v>
      </c>
      <c r="N281" s="3">
        <v>800000</v>
      </c>
      <c r="O281" s="3">
        <v>783334.12</v>
      </c>
      <c r="P281" s="4">
        <v>7.5</v>
      </c>
      <c r="Q281" s="2">
        <v>0</v>
      </c>
      <c r="R281" s="3">
        <v>3133336.48</v>
      </c>
      <c r="S281" s="3">
        <v>235000.24</v>
      </c>
      <c r="T281" s="3">
        <v>2898336.24</v>
      </c>
      <c r="U281" t="str">
        <f t="shared" si="4"/>
        <v>Achive</v>
      </c>
    </row>
    <row r="282" spans="1:21" x14ac:dyDescent="0.3">
      <c r="A282" s="2">
        <v>800511</v>
      </c>
      <c r="B282" s="10">
        <v>45551</v>
      </c>
      <c r="C282" s="2" t="s">
        <v>38</v>
      </c>
      <c r="D282" s="2" t="s">
        <v>63</v>
      </c>
      <c r="E282" s="2" t="s">
        <v>114</v>
      </c>
      <c r="F282" s="2" t="s">
        <v>23</v>
      </c>
      <c r="G282" s="2" t="s">
        <v>100</v>
      </c>
      <c r="H282" s="2" t="s">
        <v>25</v>
      </c>
      <c r="I282" s="2" t="s">
        <v>26</v>
      </c>
      <c r="J282" s="2" t="s">
        <v>81</v>
      </c>
      <c r="K282" s="2" t="s">
        <v>82</v>
      </c>
      <c r="L282" s="2" t="s">
        <v>29</v>
      </c>
      <c r="M282" s="2">
        <v>1</v>
      </c>
      <c r="N282" s="3">
        <v>1700000</v>
      </c>
      <c r="O282" s="3">
        <v>1705491.5</v>
      </c>
      <c r="P282" s="4">
        <v>5</v>
      </c>
      <c r="Q282" s="2">
        <v>0</v>
      </c>
      <c r="R282" s="3">
        <v>1705491.5</v>
      </c>
      <c r="S282" s="3">
        <v>85274.57</v>
      </c>
      <c r="T282" s="3">
        <v>1620216.93</v>
      </c>
      <c r="U282" t="str">
        <f t="shared" si="4"/>
        <v>Not achive</v>
      </c>
    </row>
    <row r="283" spans="1:21" x14ac:dyDescent="0.3">
      <c r="A283" s="2">
        <v>800136</v>
      </c>
      <c r="B283" s="10">
        <v>45552</v>
      </c>
      <c r="C283" s="2" t="s">
        <v>38</v>
      </c>
      <c r="D283" s="2" t="s">
        <v>118</v>
      </c>
      <c r="E283" s="2" t="s">
        <v>125</v>
      </c>
      <c r="F283" s="2" t="s">
        <v>32</v>
      </c>
      <c r="G283" s="2" t="s">
        <v>66</v>
      </c>
      <c r="H283" s="2" t="s">
        <v>25</v>
      </c>
      <c r="I283" s="2" t="s">
        <v>67</v>
      </c>
      <c r="J283" s="2" t="s">
        <v>68</v>
      </c>
      <c r="K283" s="2" t="s">
        <v>49</v>
      </c>
      <c r="L283" s="2" t="s">
        <v>122</v>
      </c>
      <c r="M283" s="2">
        <v>2</v>
      </c>
      <c r="N283" s="3">
        <v>1200000</v>
      </c>
      <c r="O283" s="3">
        <v>1185418.45</v>
      </c>
      <c r="P283" s="4">
        <v>0</v>
      </c>
      <c r="Q283" s="2">
        <v>0</v>
      </c>
      <c r="R283" s="3">
        <v>2370836.9</v>
      </c>
      <c r="S283" s="3">
        <v>0</v>
      </c>
      <c r="T283" s="3">
        <v>2370836.9</v>
      </c>
      <c r="U283" t="str">
        <f t="shared" si="4"/>
        <v>Achive</v>
      </c>
    </row>
    <row r="284" spans="1:21" x14ac:dyDescent="0.3">
      <c r="A284" s="2">
        <v>800220</v>
      </c>
      <c r="B284" s="10">
        <v>45552</v>
      </c>
      <c r="C284" s="2" t="s">
        <v>51</v>
      </c>
      <c r="D284" s="2" t="s">
        <v>106</v>
      </c>
      <c r="E284" s="2" t="s">
        <v>128</v>
      </c>
      <c r="F284" s="2" t="s">
        <v>65</v>
      </c>
      <c r="G284" s="2" t="s">
        <v>42</v>
      </c>
      <c r="H284" s="2" t="s">
        <v>25</v>
      </c>
      <c r="I284" s="2" t="s">
        <v>26</v>
      </c>
      <c r="J284" s="2" t="s">
        <v>27</v>
      </c>
      <c r="K284" s="2" t="s">
        <v>99</v>
      </c>
      <c r="L284" s="2" t="s">
        <v>73</v>
      </c>
      <c r="M284" s="2">
        <v>3</v>
      </c>
      <c r="N284" s="3">
        <v>750000</v>
      </c>
      <c r="O284" s="3">
        <v>736646.74</v>
      </c>
      <c r="P284" s="4">
        <v>0</v>
      </c>
      <c r="Q284" s="2">
        <v>0</v>
      </c>
      <c r="R284" s="3">
        <v>2209940.2200000002</v>
      </c>
      <c r="S284" s="3">
        <v>0</v>
      </c>
      <c r="T284" s="3">
        <v>2209940.2200000002</v>
      </c>
      <c r="U284" t="str">
        <f t="shared" si="4"/>
        <v>Achive</v>
      </c>
    </row>
    <row r="285" spans="1:21" x14ac:dyDescent="0.3">
      <c r="A285" s="2">
        <v>800348</v>
      </c>
      <c r="B285" s="10">
        <v>45552</v>
      </c>
      <c r="C285" s="2" t="s">
        <v>20</v>
      </c>
      <c r="D285" s="2" t="s">
        <v>21</v>
      </c>
      <c r="E285" s="2" t="s">
        <v>98</v>
      </c>
      <c r="F285" s="2" t="s">
        <v>32</v>
      </c>
      <c r="G285" s="2" t="s">
        <v>33</v>
      </c>
      <c r="H285" s="2" t="s">
        <v>25</v>
      </c>
      <c r="I285" s="2" t="s">
        <v>43</v>
      </c>
      <c r="J285" s="2" t="s">
        <v>101</v>
      </c>
      <c r="K285" s="2" t="s">
        <v>102</v>
      </c>
      <c r="L285" s="2" t="s">
        <v>50</v>
      </c>
      <c r="M285" s="2">
        <v>6</v>
      </c>
      <c r="N285" s="3">
        <v>1000000</v>
      </c>
      <c r="O285" s="3">
        <v>1004302.18</v>
      </c>
      <c r="P285" s="4">
        <v>0</v>
      </c>
      <c r="Q285" s="2">
        <v>0</v>
      </c>
      <c r="R285" s="3">
        <v>6025813.0800000001</v>
      </c>
      <c r="S285" s="3">
        <v>0</v>
      </c>
      <c r="T285" s="3">
        <v>6025813.0800000001</v>
      </c>
      <c r="U285" t="str">
        <f t="shared" si="4"/>
        <v>Achive</v>
      </c>
    </row>
    <row r="286" spans="1:21" x14ac:dyDescent="0.3">
      <c r="A286" s="2">
        <v>800191</v>
      </c>
      <c r="B286" s="10">
        <v>45553</v>
      </c>
      <c r="C286" s="2" t="s">
        <v>51</v>
      </c>
      <c r="D286" s="2" t="s">
        <v>55</v>
      </c>
      <c r="E286" s="2" t="s">
        <v>104</v>
      </c>
      <c r="F286" s="2" t="s">
        <v>32</v>
      </c>
      <c r="G286" s="2" t="s">
        <v>54</v>
      </c>
      <c r="H286" s="2" t="s">
        <v>25</v>
      </c>
      <c r="I286" s="2" t="s">
        <v>26</v>
      </c>
      <c r="J286" s="2" t="s">
        <v>127</v>
      </c>
      <c r="K286" s="2" t="s">
        <v>58</v>
      </c>
      <c r="L286" s="2" t="s">
        <v>122</v>
      </c>
      <c r="M286" s="2">
        <v>3</v>
      </c>
      <c r="N286" s="3">
        <v>650000</v>
      </c>
      <c r="O286" s="3">
        <v>654039.92000000004</v>
      </c>
      <c r="P286" s="4">
        <v>2</v>
      </c>
      <c r="Q286" s="2">
        <v>0</v>
      </c>
      <c r="R286" s="3">
        <v>1962119.76</v>
      </c>
      <c r="S286" s="3">
        <v>39242.400000000001</v>
      </c>
      <c r="T286" s="3">
        <v>1922877.36</v>
      </c>
      <c r="U286" t="str">
        <f t="shared" si="4"/>
        <v>Not achive</v>
      </c>
    </row>
    <row r="287" spans="1:21" x14ac:dyDescent="0.3">
      <c r="A287" s="2">
        <v>800235</v>
      </c>
      <c r="B287" s="10">
        <v>45555</v>
      </c>
      <c r="C287" s="2" t="s">
        <v>20</v>
      </c>
      <c r="D287" s="2" t="s">
        <v>30</v>
      </c>
      <c r="E287" s="2" t="s">
        <v>88</v>
      </c>
      <c r="F287" s="2" t="s">
        <v>41</v>
      </c>
      <c r="G287" s="2" t="s">
        <v>94</v>
      </c>
      <c r="H287" s="2" t="s">
        <v>25</v>
      </c>
      <c r="I287" s="2" t="s">
        <v>67</v>
      </c>
      <c r="J287" s="2" t="s">
        <v>85</v>
      </c>
      <c r="K287" s="2" t="s">
        <v>89</v>
      </c>
      <c r="L287" s="2" t="s">
        <v>87</v>
      </c>
      <c r="M287" s="2">
        <v>1</v>
      </c>
      <c r="N287" s="3">
        <v>1500000</v>
      </c>
      <c r="O287" s="3">
        <v>1492103.62</v>
      </c>
      <c r="P287" s="4">
        <v>7.5</v>
      </c>
      <c r="Q287" s="2">
        <v>0</v>
      </c>
      <c r="R287" s="3">
        <v>1492103.62</v>
      </c>
      <c r="S287" s="3">
        <v>111907.77</v>
      </c>
      <c r="T287" s="3">
        <v>1380195.85</v>
      </c>
      <c r="U287" t="str">
        <f t="shared" si="4"/>
        <v>Not achive</v>
      </c>
    </row>
    <row r="288" spans="1:21" x14ac:dyDescent="0.3">
      <c r="A288" s="2">
        <v>800398</v>
      </c>
      <c r="B288" s="10">
        <v>45555</v>
      </c>
      <c r="C288" s="2" t="s">
        <v>20</v>
      </c>
      <c r="D288" s="2" t="s">
        <v>30</v>
      </c>
      <c r="E288" s="2" t="s">
        <v>88</v>
      </c>
      <c r="F288" s="2" t="s">
        <v>41</v>
      </c>
      <c r="G288" s="2" t="s">
        <v>72</v>
      </c>
      <c r="H288" s="2" t="s">
        <v>25</v>
      </c>
      <c r="I288" s="2" t="s">
        <v>67</v>
      </c>
      <c r="J288" s="2" t="s">
        <v>112</v>
      </c>
      <c r="K288" s="2" t="s">
        <v>99</v>
      </c>
      <c r="L288" s="2" t="s">
        <v>37</v>
      </c>
      <c r="M288" s="2">
        <v>3</v>
      </c>
      <c r="N288" s="3">
        <v>1250000</v>
      </c>
      <c r="O288" s="3">
        <v>1272287.1499999999</v>
      </c>
      <c r="P288" s="4">
        <v>0</v>
      </c>
      <c r="Q288" s="2">
        <v>0</v>
      </c>
      <c r="R288" s="3">
        <v>3816861.45</v>
      </c>
      <c r="S288" s="3">
        <v>0</v>
      </c>
      <c r="T288" s="3">
        <v>3816861.45</v>
      </c>
      <c r="U288" t="str">
        <f t="shared" si="4"/>
        <v>Achive</v>
      </c>
    </row>
    <row r="289" spans="1:21" x14ac:dyDescent="0.3">
      <c r="A289" s="2">
        <v>800015</v>
      </c>
      <c r="B289" s="10">
        <v>45556</v>
      </c>
      <c r="C289" s="2" t="s">
        <v>69</v>
      </c>
      <c r="D289" s="2" t="s">
        <v>83</v>
      </c>
      <c r="E289" s="2" t="s">
        <v>84</v>
      </c>
      <c r="F289" s="2" t="s">
        <v>23</v>
      </c>
      <c r="G289" s="2" t="s">
        <v>42</v>
      </c>
      <c r="H289" s="2" t="s">
        <v>25</v>
      </c>
      <c r="I289" s="2" t="s">
        <v>26</v>
      </c>
      <c r="J289" s="2" t="s">
        <v>81</v>
      </c>
      <c r="K289" s="2" t="s">
        <v>77</v>
      </c>
      <c r="L289" s="2" t="s">
        <v>37</v>
      </c>
      <c r="M289" s="2">
        <v>3</v>
      </c>
      <c r="N289" s="3">
        <v>1700000</v>
      </c>
      <c r="O289" s="3">
        <v>1687376.32</v>
      </c>
      <c r="P289" s="4">
        <v>2</v>
      </c>
      <c r="Q289" s="2">
        <v>0</v>
      </c>
      <c r="R289" s="3">
        <v>5062128.96</v>
      </c>
      <c r="S289" s="3">
        <v>101242.58</v>
      </c>
      <c r="T289" s="3">
        <v>4960886.38</v>
      </c>
      <c r="U289" t="str">
        <f t="shared" si="4"/>
        <v>Achive</v>
      </c>
    </row>
    <row r="290" spans="1:21" x14ac:dyDescent="0.3">
      <c r="A290" s="2">
        <v>800018</v>
      </c>
      <c r="B290" s="10">
        <v>45556</v>
      </c>
      <c r="C290" s="2" t="s">
        <v>51</v>
      </c>
      <c r="D290" s="2" t="s">
        <v>106</v>
      </c>
      <c r="E290" s="2" t="s">
        <v>107</v>
      </c>
      <c r="F290" s="2" t="s">
        <v>65</v>
      </c>
      <c r="G290" s="2" t="s">
        <v>72</v>
      </c>
      <c r="H290" s="2" t="s">
        <v>25</v>
      </c>
      <c r="I290" s="2" t="s">
        <v>67</v>
      </c>
      <c r="J290" s="2" t="s">
        <v>85</v>
      </c>
      <c r="K290" s="2" t="s">
        <v>86</v>
      </c>
      <c r="L290" s="2" t="s">
        <v>29</v>
      </c>
      <c r="M290" s="2">
        <v>3</v>
      </c>
      <c r="N290" s="3">
        <v>1500000</v>
      </c>
      <c r="O290" s="3">
        <v>1504009.16</v>
      </c>
      <c r="P290" s="4">
        <v>0</v>
      </c>
      <c r="Q290" s="2">
        <v>0</v>
      </c>
      <c r="R290" s="3">
        <v>4512027.4800000004</v>
      </c>
      <c r="S290" s="3">
        <v>0</v>
      </c>
      <c r="T290" s="3">
        <v>4512027.4800000004</v>
      </c>
      <c r="U290" t="str">
        <f t="shared" si="4"/>
        <v>Achive</v>
      </c>
    </row>
    <row r="291" spans="1:21" x14ac:dyDescent="0.3">
      <c r="A291" s="2">
        <v>800158</v>
      </c>
      <c r="B291" s="10">
        <v>45556</v>
      </c>
      <c r="C291" s="2" t="s">
        <v>51</v>
      </c>
      <c r="D291" s="2" t="s">
        <v>110</v>
      </c>
      <c r="E291" s="2" t="s">
        <v>111</v>
      </c>
      <c r="F291" s="2" t="s">
        <v>23</v>
      </c>
      <c r="G291" s="2" t="s">
        <v>94</v>
      </c>
      <c r="H291" s="2" t="s">
        <v>25</v>
      </c>
      <c r="I291" s="2" t="s">
        <v>67</v>
      </c>
      <c r="J291" s="2" t="s">
        <v>68</v>
      </c>
      <c r="K291" s="2" t="s">
        <v>91</v>
      </c>
      <c r="L291" s="2" t="s">
        <v>92</v>
      </c>
      <c r="M291" s="2">
        <v>1</v>
      </c>
      <c r="N291" s="3">
        <v>1200000</v>
      </c>
      <c r="O291" s="3">
        <v>1171719.8</v>
      </c>
      <c r="P291" s="4">
        <v>0</v>
      </c>
      <c r="Q291" s="2">
        <v>0</v>
      </c>
      <c r="R291" s="3">
        <v>1171719.8</v>
      </c>
      <c r="S291" s="3">
        <v>0</v>
      </c>
      <c r="T291" s="3">
        <v>1171719.8</v>
      </c>
      <c r="U291" t="str">
        <f t="shared" si="4"/>
        <v>Not achive</v>
      </c>
    </row>
    <row r="292" spans="1:21" x14ac:dyDescent="0.3">
      <c r="A292" s="2">
        <v>800239</v>
      </c>
      <c r="B292" s="10">
        <v>45558</v>
      </c>
      <c r="C292" s="2" t="s">
        <v>51</v>
      </c>
      <c r="D292" s="2" t="s">
        <v>106</v>
      </c>
      <c r="E292" s="2" t="s">
        <v>128</v>
      </c>
      <c r="F292" s="2" t="s">
        <v>23</v>
      </c>
      <c r="G292" s="2" t="s">
        <v>61</v>
      </c>
      <c r="H292" s="2" t="s">
        <v>25</v>
      </c>
      <c r="I292" s="2" t="s">
        <v>26</v>
      </c>
      <c r="J292" s="2" t="s">
        <v>57</v>
      </c>
      <c r="K292" s="2" t="s">
        <v>99</v>
      </c>
      <c r="L292" s="2" t="s">
        <v>122</v>
      </c>
      <c r="M292" s="2">
        <v>3</v>
      </c>
      <c r="N292" s="3">
        <v>800000</v>
      </c>
      <c r="O292" s="3">
        <v>803199.31</v>
      </c>
      <c r="P292" s="4">
        <v>0</v>
      </c>
      <c r="Q292" s="2">
        <v>1</v>
      </c>
      <c r="R292" s="3">
        <v>2409597.9300000002</v>
      </c>
      <c r="S292" s="3">
        <v>0</v>
      </c>
      <c r="T292" s="3">
        <v>2409597.9300000002</v>
      </c>
      <c r="U292" t="str">
        <f t="shared" si="4"/>
        <v>Achive</v>
      </c>
    </row>
    <row r="293" spans="1:21" x14ac:dyDescent="0.3">
      <c r="A293" s="2">
        <v>800386</v>
      </c>
      <c r="B293" s="10">
        <v>45558</v>
      </c>
      <c r="C293" s="2" t="s">
        <v>38</v>
      </c>
      <c r="D293" s="2" t="s">
        <v>63</v>
      </c>
      <c r="E293" s="2" t="s">
        <v>64</v>
      </c>
      <c r="F293" s="2" t="s">
        <v>32</v>
      </c>
      <c r="G293" s="2" t="s">
        <v>94</v>
      </c>
      <c r="H293" s="2" t="s">
        <v>25</v>
      </c>
      <c r="I293" s="2" t="s">
        <v>26</v>
      </c>
      <c r="J293" s="2" t="s">
        <v>127</v>
      </c>
      <c r="K293" s="2" t="s">
        <v>99</v>
      </c>
      <c r="L293" s="2" t="s">
        <v>78</v>
      </c>
      <c r="M293" s="2">
        <v>1</v>
      </c>
      <c r="N293" s="3">
        <v>650000</v>
      </c>
      <c r="O293" s="3">
        <v>639836.91</v>
      </c>
      <c r="P293" s="4">
        <v>10</v>
      </c>
      <c r="Q293" s="2">
        <v>0</v>
      </c>
      <c r="R293" s="3">
        <v>639836.91</v>
      </c>
      <c r="S293" s="3">
        <v>63983.69</v>
      </c>
      <c r="T293" s="3">
        <v>575853.22</v>
      </c>
      <c r="U293" t="str">
        <f t="shared" si="4"/>
        <v>Not achive</v>
      </c>
    </row>
    <row r="294" spans="1:21" x14ac:dyDescent="0.3">
      <c r="A294" s="2">
        <v>800003</v>
      </c>
      <c r="B294" s="10">
        <v>45559</v>
      </c>
      <c r="C294" s="2" t="s">
        <v>38</v>
      </c>
      <c r="D294" s="2" t="s">
        <v>39</v>
      </c>
      <c r="E294" s="2" t="s">
        <v>126</v>
      </c>
      <c r="F294" s="2" t="s">
        <v>23</v>
      </c>
      <c r="G294" s="2" t="s">
        <v>24</v>
      </c>
      <c r="H294" s="2" t="s">
        <v>25</v>
      </c>
      <c r="I294" s="2" t="s">
        <v>67</v>
      </c>
      <c r="J294" s="2" t="s">
        <v>68</v>
      </c>
      <c r="K294" s="2" t="s">
        <v>49</v>
      </c>
      <c r="L294" s="2" t="s">
        <v>122</v>
      </c>
      <c r="M294" s="2">
        <v>2</v>
      </c>
      <c r="N294" s="3">
        <v>1200000</v>
      </c>
      <c r="O294" s="3">
        <v>1170132.6200000001</v>
      </c>
      <c r="P294" s="4">
        <v>10</v>
      </c>
      <c r="Q294" s="2">
        <v>0</v>
      </c>
      <c r="R294" s="3">
        <v>2340265.2400000002</v>
      </c>
      <c r="S294" s="3">
        <v>234026.52</v>
      </c>
      <c r="T294" s="3">
        <v>2106238.7200000002</v>
      </c>
      <c r="U294" t="str">
        <f t="shared" si="4"/>
        <v>Achive</v>
      </c>
    </row>
    <row r="295" spans="1:21" x14ac:dyDescent="0.3">
      <c r="A295" s="2">
        <v>800084</v>
      </c>
      <c r="B295" s="10">
        <v>45559</v>
      </c>
      <c r="C295" s="2" t="s">
        <v>69</v>
      </c>
      <c r="D295" s="2" t="s">
        <v>70</v>
      </c>
      <c r="E295" s="2" t="s">
        <v>136</v>
      </c>
      <c r="F295" s="2" t="s">
        <v>65</v>
      </c>
      <c r="G295" s="2" t="s">
        <v>66</v>
      </c>
      <c r="H295" s="2" t="s">
        <v>25</v>
      </c>
      <c r="I295" s="2" t="s">
        <v>67</v>
      </c>
      <c r="J295" s="2" t="s">
        <v>68</v>
      </c>
      <c r="K295" s="2" t="s">
        <v>91</v>
      </c>
      <c r="L295" s="2" t="s">
        <v>29</v>
      </c>
      <c r="M295" s="2">
        <v>2</v>
      </c>
      <c r="N295" s="3">
        <v>1200000</v>
      </c>
      <c r="O295" s="3">
        <v>1218072.57</v>
      </c>
      <c r="P295" s="4">
        <v>0</v>
      </c>
      <c r="Q295" s="2">
        <v>0</v>
      </c>
      <c r="R295" s="3">
        <v>2436145.14</v>
      </c>
      <c r="S295" s="3">
        <v>0</v>
      </c>
      <c r="T295" s="3">
        <v>2436145.14</v>
      </c>
      <c r="U295" t="str">
        <f t="shared" si="4"/>
        <v>Achive</v>
      </c>
    </row>
    <row r="296" spans="1:21" x14ac:dyDescent="0.3">
      <c r="A296" s="2">
        <v>800286</v>
      </c>
      <c r="B296" s="10">
        <v>45559</v>
      </c>
      <c r="C296" s="2" t="s">
        <v>38</v>
      </c>
      <c r="D296" s="2" t="s">
        <v>63</v>
      </c>
      <c r="E296" s="2" t="s">
        <v>64</v>
      </c>
      <c r="F296" s="2" t="s">
        <v>65</v>
      </c>
      <c r="G296" s="2" t="s">
        <v>90</v>
      </c>
      <c r="H296" s="2" t="s">
        <v>25</v>
      </c>
      <c r="I296" s="2" t="s">
        <v>43</v>
      </c>
      <c r="J296" s="2" t="s">
        <v>44</v>
      </c>
      <c r="K296" s="2" t="s">
        <v>129</v>
      </c>
      <c r="L296" s="2" t="s">
        <v>92</v>
      </c>
      <c r="M296" s="2">
        <v>1</v>
      </c>
      <c r="N296" s="3">
        <v>800000</v>
      </c>
      <c r="O296" s="3">
        <v>782045.23</v>
      </c>
      <c r="P296" s="4">
        <v>0</v>
      </c>
      <c r="Q296" s="2">
        <v>0</v>
      </c>
      <c r="R296" s="3">
        <v>782045.23</v>
      </c>
      <c r="S296" s="3">
        <v>0</v>
      </c>
      <c r="T296" s="3">
        <v>782045.23</v>
      </c>
      <c r="U296" t="str">
        <f t="shared" si="4"/>
        <v>Not achive</v>
      </c>
    </row>
    <row r="297" spans="1:21" x14ac:dyDescent="0.3">
      <c r="A297" s="2">
        <v>800291</v>
      </c>
      <c r="B297" s="10">
        <v>45559</v>
      </c>
      <c r="C297" s="2" t="s">
        <v>20</v>
      </c>
      <c r="D297" s="2" t="s">
        <v>21</v>
      </c>
      <c r="E297" s="2" t="s">
        <v>22</v>
      </c>
      <c r="F297" s="2" t="s">
        <v>46</v>
      </c>
      <c r="G297" s="2" t="s">
        <v>100</v>
      </c>
      <c r="H297" s="2" t="s">
        <v>25</v>
      </c>
      <c r="I297" s="2" t="s">
        <v>67</v>
      </c>
      <c r="J297" s="2" t="s">
        <v>112</v>
      </c>
      <c r="K297" s="2" t="s">
        <v>58</v>
      </c>
      <c r="L297" s="2" t="s">
        <v>50</v>
      </c>
      <c r="M297" s="2">
        <v>3</v>
      </c>
      <c r="N297" s="3">
        <v>1250000</v>
      </c>
      <c r="O297" s="3">
        <v>1261221.54</v>
      </c>
      <c r="P297" s="4">
        <v>5</v>
      </c>
      <c r="Q297" s="2">
        <v>0</v>
      </c>
      <c r="R297" s="3">
        <v>3783664.62</v>
      </c>
      <c r="S297" s="3">
        <v>189183.23</v>
      </c>
      <c r="T297" s="3">
        <v>3594481.39</v>
      </c>
      <c r="U297" t="str">
        <f t="shared" si="4"/>
        <v>Achive</v>
      </c>
    </row>
    <row r="298" spans="1:21" x14ac:dyDescent="0.3">
      <c r="A298" s="2">
        <v>800353</v>
      </c>
      <c r="B298" s="10">
        <v>45559</v>
      </c>
      <c r="C298" s="2" t="s">
        <v>38</v>
      </c>
      <c r="D298" s="2" t="s">
        <v>39</v>
      </c>
      <c r="E298" s="2" t="s">
        <v>126</v>
      </c>
      <c r="F298" s="2" t="s">
        <v>41</v>
      </c>
      <c r="G298" s="2" t="s">
        <v>116</v>
      </c>
      <c r="H298" s="2" t="s">
        <v>25</v>
      </c>
      <c r="I298" s="2" t="s">
        <v>26</v>
      </c>
      <c r="J298" s="2" t="s">
        <v>127</v>
      </c>
      <c r="K298" s="2" t="s">
        <v>99</v>
      </c>
      <c r="L298" s="2" t="s">
        <v>92</v>
      </c>
      <c r="M298" s="2">
        <v>2</v>
      </c>
      <c r="N298" s="3">
        <v>650000</v>
      </c>
      <c r="O298" s="3">
        <v>647957.43999999994</v>
      </c>
      <c r="P298" s="4">
        <v>0</v>
      </c>
      <c r="Q298" s="2">
        <v>0</v>
      </c>
      <c r="R298" s="3">
        <v>1295914.8799999999</v>
      </c>
      <c r="S298" s="3">
        <v>0</v>
      </c>
      <c r="T298" s="3">
        <v>1295914.8799999999</v>
      </c>
      <c r="U298" t="str">
        <f t="shared" si="4"/>
        <v>Not achive</v>
      </c>
    </row>
    <row r="299" spans="1:21" x14ac:dyDescent="0.3">
      <c r="A299" s="2">
        <v>800114</v>
      </c>
      <c r="B299" s="10">
        <v>45561</v>
      </c>
      <c r="C299" s="2" t="s">
        <v>51</v>
      </c>
      <c r="D299" s="2" t="s">
        <v>110</v>
      </c>
      <c r="E299" s="2" t="s">
        <v>124</v>
      </c>
      <c r="F299" s="2" t="s">
        <v>65</v>
      </c>
      <c r="G299" s="2" t="s">
        <v>90</v>
      </c>
      <c r="H299" s="2" t="s">
        <v>25</v>
      </c>
      <c r="I299" s="2" t="s">
        <v>26</v>
      </c>
      <c r="J299" s="2" t="s">
        <v>105</v>
      </c>
      <c r="K299" s="2" t="s">
        <v>49</v>
      </c>
      <c r="L299" s="2" t="s">
        <v>50</v>
      </c>
      <c r="M299" s="2">
        <v>3</v>
      </c>
      <c r="N299" s="3">
        <v>950000</v>
      </c>
      <c r="O299" s="3">
        <v>951578.17</v>
      </c>
      <c r="P299" s="4">
        <v>2</v>
      </c>
      <c r="Q299" s="2">
        <v>0</v>
      </c>
      <c r="R299" s="3">
        <v>2854734.51</v>
      </c>
      <c r="S299" s="3">
        <v>57094.69</v>
      </c>
      <c r="T299" s="3">
        <v>2797639.82</v>
      </c>
      <c r="U299" t="str">
        <f t="shared" si="4"/>
        <v>Achive</v>
      </c>
    </row>
    <row r="300" spans="1:21" x14ac:dyDescent="0.3">
      <c r="A300" s="2">
        <v>800568</v>
      </c>
      <c r="B300" s="10">
        <v>45562</v>
      </c>
      <c r="C300" s="2" t="s">
        <v>51</v>
      </c>
      <c r="D300" s="2" t="s">
        <v>106</v>
      </c>
      <c r="E300" s="2" t="s">
        <v>107</v>
      </c>
      <c r="F300" s="2" t="s">
        <v>41</v>
      </c>
      <c r="G300" s="2" t="s">
        <v>61</v>
      </c>
      <c r="H300" s="2" t="s">
        <v>25</v>
      </c>
      <c r="I300" s="2" t="s">
        <v>34</v>
      </c>
      <c r="J300" s="2" t="s">
        <v>35</v>
      </c>
      <c r="K300" s="2" t="s">
        <v>45</v>
      </c>
      <c r="L300" s="2" t="s">
        <v>92</v>
      </c>
      <c r="M300" s="2">
        <v>2</v>
      </c>
      <c r="N300" s="3">
        <v>550000</v>
      </c>
      <c r="O300" s="3">
        <v>549659.07999999996</v>
      </c>
      <c r="P300" s="4">
        <v>2</v>
      </c>
      <c r="Q300" s="2">
        <v>0</v>
      </c>
      <c r="R300" s="3">
        <v>1099318.1599999999</v>
      </c>
      <c r="S300" s="3">
        <v>21986.36</v>
      </c>
      <c r="T300" s="3">
        <v>1077331.8</v>
      </c>
      <c r="U300" t="str">
        <f t="shared" si="4"/>
        <v>Not achive</v>
      </c>
    </row>
    <row r="301" spans="1:21" x14ac:dyDescent="0.3">
      <c r="A301" s="2">
        <v>800365</v>
      </c>
      <c r="B301" s="10">
        <v>45563</v>
      </c>
      <c r="C301" s="2" t="s">
        <v>69</v>
      </c>
      <c r="D301" s="2" t="s">
        <v>70</v>
      </c>
      <c r="E301" s="2" t="s">
        <v>136</v>
      </c>
      <c r="F301" s="2" t="s">
        <v>23</v>
      </c>
      <c r="G301" s="2" t="s">
        <v>24</v>
      </c>
      <c r="H301" s="2" t="s">
        <v>25</v>
      </c>
      <c r="I301" s="2" t="s">
        <v>67</v>
      </c>
      <c r="J301" s="2" t="s">
        <v>112</v>
      </c>
      <c r="K301" s="2" t="s">
        <v>58</v>
      </c>
      <c r="L301" s="2" t="s">
        <v>59</v>
      </c>
      <c r="M301" s="2">
        <v>2</v>
      </c>
      <c r="N301" s="3">
        <v>1250000</v>
      </c>
      <c r="O301" s="3">
        <v>1236020.55</v>
      </c>
      <c r="P301" s="4">
        <v>2</v>
      </c>
      <c r="Q301" s="2">
        <v>0</v>
      </c>
      <c r="R301" s="3">
        <v>2472041.1</v>
      </c>
      <c r="S301" s="3">
        <v>49440.82</v>
      </c>
      <c r="T301" s="3">
        <v>2422600.2799999998</v>
      </c>
      <c r="U301" t="str">
        <f t="shared" si="4"/>
        <v>Achive</v>
      </c>
    </row>
    <row r="302" spans="1:21" x14ac:dyDescent="0.3">
      <c r="A302" s="2">
        <v>800381</v>
      </c>
      <c r="B302" s="10">
        <v>45563</v>
      </c>
      <c r="C302" s="2" t="s">
        <v>69</v>
      </c>
      <c r="D302" s="2" t="s">
        <v>83</v>
      </c>
      <c r="E302" s="2" t="s">
        <v>97</v>
      </c>
      <c r="F302" s="2" t="s">
        <v>41</v>
      </c>
      <c r="G302" s="2" t="s">
        <v>24</v>
      </c>
      <c r="H302" s="2" t="s">
        <v>25</v>
      </c>
      <c r="I302" s="2" t="s">
        <v>26</v>
      </c>
      <c r="J302" s="2" t="s">
        <v>76</v>
      </c>
      <c r="K302" s="2" t="s">
        <v>115</v>
      </c>
      <c r="L302" s="2" t="s">
        <v>29</v>
      </c>
      <c r="M302" s="2">
        <v>1</v>
      </c>
      <c r="N302" s="3">
        <v>700000</v>
      </c>
      <c r="O302" s="3">
        <v>682039.5</v>
      </c>
      <c r="P302" s="4">
        <v>5</v>
      </c>
      <c r="Q302" s="2">
        <v>0</v>
      </c>
      <c r="R302" s="3">
        <v>682039.5</v>
      </c>
      <c r="S302" s="3">
        <v>34101.97</v>
      </c>
      <c r="T302" s="3">
        <v>647937.53</v>
      </c>
      <c r="U302" t="str">
        <f t="shared" si="4"/>
        <v>Not achive</v>
      </c>
    </row>
    <row r="303" spans="1:21" x14ac:dyDescent="0.3">
      <c r="A303" s="2">
        <v>800005</v>
      </c>
      <c r="B303" s="10">
        <v>45564</v>
      </c>
      <c r="C303" s="2" t="s">
        <v>51</v>
      </c>
      <c r="D303" s="2" t="s">
        <v>106</v>
      </c>
      <c r="E303" s="2" t="s">
        <v>128</v>
      </c>
      <c r="F303" s="2" t="s">
        <v>65</v>
      </c>
      <c r="G303" s="2" t="s">
        <v>61</v>
      </c>
      <c r="H303" s="2" t="s">
        <v>25</v>
      </c>
      <c r="I303" s="2" t="s">
        <v>43</v>
      </c>
      <c r="J303" s="2" t="s">
        <v>44</v>
      </c>
      <c r="K303" s="2" t="s">
        <v>45</v>
      </c>
      <c r="L303" s="2" t="s">
        <v>50</v>
      </c>
      <c r="M303" s="2">
        <v>4</v>
      </c>
      <c r="N303" s="3">
        <v>800000</v>
      </c>
      <c r="O303" s="3">
        <v>787118.94</v>
      </c>
      <c r="P303" s="4">
        <v>7.5</v>
      </c>
      <c r="Q303" s="2">
        <v>0</v>
      </c>
      <c r="R303" s="3">
        <v>3148475.76</v>
      </c>
      <c r="S303" s="3">
        <v>236135.67999999999</v>
      </c>
      <c r="T303" s="3">
        <v>2912340.08</v>
      </c>
      <c r="U303" t="str">
        <f t="shared" si="4"/>
        <v>Achive</v>
      </c>
    </row>
    <row r="304" spans="1:21" x14ac:dyDescent="0.3">
      <c r="A304" s="2">
        <v>800355</v>
      </c>
      <c r="B304" s="10">
        <v>45565</v>
      </c>
      <c r="C304" s="2" t="s">
        <v>51</v>
      </c>
      <c r="D304" s="2" t="s">
        <v>110</v>
      </c>
      <c r="E304" s="2" t="s">
        <v>111</v>
      </c>
      <c r="F304" s="2" t="s">
        <v>32</v>
      </c>
      <c r="G304" s="2" t="s">
        <v>61</v>
      </c>
      <c r="H304" s="2" t="s">
        <v>25</v>
      </c>
      <c r="I304" s="2" t="s">
        <v>67</v>
      </c>
      <c r="J304" s="2" t="s">
        <v>68</v>
      </c>
      <c r="K304" s="2" t="s">
        <v>91</v>
      </c>
      <c r="L304" s="2" t="s">
        <v>50</v>
      </c>
      <c r="M304" s="2">
        <v>2</v>
      </c>
      <c r="N304" s="3">
        <v>1200000</v>
      </c>
      <c r="O304" s="3">
        <v>1169892.1399999999</v>
      </c>
      <c r="P304" s="4">
        <v>12.5</v>
      </c>
      <c r="Q304" s="2">
        <v>0</v>
      </c>
      <c r="R304" s="3">
        <v>2339784.2799999998</v>
      </c>
      <c r="S304" s="3">
        <v>292473.03000000003</v>
      </c>
      <c r="T304" s="3">
        <v>2047311.25</v>
      </c>
      <c r="U304" t="str">
        <f t="shared" si="4"/>
        <v>Achive</v>
      </c>
    </row>
    <row r="305" spans="1:21" x14ac:dyDescent="0.3">
      <c r="A305" s="2">
        <v>800560</v>
      </c>
      <c r="B305" s="10">
        <v>45565</v>
      </c>
      <c r="C305" s="2" t="s">
        <v>51</v>
      </c>
      <c r="D305" s="2" t="s">
        <v>52</v>
      </c>
      <c r="E305" s="2" t="s">
        <v>139</v>
      </c>
      <c r="F305" s="2" t="s">
        <v>23</v>
      </c>
      <c r="G305" s="2" t="s">
        <v>33</v>
      </c>
      <c r="H305" s="2" t="s">
        <v>25</v>
      </c>
      <c r="I305" s="2" t="s">
        <v>26</v>
      </c>
      <c r="J305" s="2" t="s">
        <v>57</v>
      </c>
      <c r="K305" s="2" t="s">
        <v>103</v>
      </c>
      <c r="L305" s="2" t="s">
        <v>73</v>
      </c>
      <c r="M305" s="2">
        <v>1</v>
      </c>
      <c r="N305" s="3">
        <v>800000</v>
      </c>
      <c r="O305" s="3">
        <v>786906.81</v>
      </c>
      <c r="P305" s="4">
        <v>10</v>
      </c>
      <c r="Q305" s="2">
        <v>0</v>
      </c>
      <c r="R305" s="3">
        <v>786906.81</v>
      </c>
      <c r="S305" s="3">
        <v>78690.679999999993</v>
      </c>
      <c r="T305" s="3">
        <v>708216.13</v>
      </c>
      <c r="U305" t="str">
        <f t="shared" si="4"/>
        <v>Not achive</v>
      </c>
    </row>
    <row r="306" spans="1:21" x14ac:dyDescent="0.3">
      <c r="A306" s="2">
        <v>800175</v>
      </c>
      <c r="B306" s="10">
        <v>45567</v>
      </c>
      <c r="C306" s="2" t="s">
        <v>38</v>
      </c>
      <c r="D306" s="2" t="s">
        <v>79</v>
      </c>
      <c r="E306" s="2" t="s">
        <v>133</v>
      </c>
      <c r="F306" s="2" t="s">
        <v>65</v>
      </c>
      <c r="G306" s="2" t="s">
        <v>72</v>
      </c>
      <c r="H306" s="2" t="s">
        <v>25</v>
      </c>
      <c r="I306" s="2" t="s">
        <v>26</v>
      </c>
      <c r="J306" s="2" t="s">
        <v>76</v>
      </c>
      <c r="K306" s="2" t="s">
        <v>117</v>
      </c>
      <c r="L306" s="2" t="s">
        <v>78</v>
      </c>
      <c r="M306" s="2">
        <v>2</v>
      </c>
      <c r="N306" s="3">
        <v>700000</v>
      </c>
      <c r="O306" s="3">
        <v>689568.1</v>
      </c>
      <c r="P306" s="4">
        <v>0</v>
      </c>
      <c r="Q306" s="2">
        <v>0</v>
      </c>
      <c r="R306" s="3">
        <v>1379136.2</v>
      </c>
      <c r="S306" s="3">
        <v>0</v>
      </c>
      <c r="T306" s="3">
        <v>1379136.2</v>
      </c>
      <c r="U306" t="str">
        <f t="shared" si="4"/>
        <v>Not achive</v>
      </c>
    </row>
    <row r="307" spans="1:21" x14ac:dyDescent="0.3">
      <c r="A307" s="2">
        <v>800237</v>
      </c>
      <c r="B307" s="10">
        <v>45567</v>
      </c>
      <c r="C307" s="2" t="s">
        <v>20</v>
      </c>
      <c r="D307" s="2" t="s">
        <v>74</v>
      </c>
      <c r="E307" s="2" t="s">
        <v>75</v>
      </c>
      <c r="F307" s="2" t="s">
        <v>23</v>
      </c>
      <c r="G307" s="2" t="s">
        <v>90</v>
      </c>
      <c r="H307" s="2" t="s">
        <v>25</v>
      </c>
      <c r="I307" s="2" t="s">
        <v>26</v>
      </c>
      <c r="J307" s="2" t="s">
        <v>120</v>
      </c>
      <c r="K307" s="2" t="s">
        <v>49</v>
      </c>
      <c r="L307" s="2" t="s">
        <v>78</v>
      </c>
      <c r="M307" s="2">
        <v>1</v>
      </c>
      <c r="N307" s="3">
        <v>1900000</v>
      </c>
      <c r="O307" s="3">
        <v>1926070.22</v>
      </c>
      <c r="P307" s="4">
        <v>5</v>
      </c>
      <c r="Q307" s="2">
        <v>0</v>
      </c>
      <c r="R307" s="3">
        <v>1926070.22</v>
      </c>
      <c r="S307" s="3">
        <v>96303.51</v>
      </c>
      <c r="T307" s="3">
        <v>1829766.71</v>
      </c>
      <c r="U307" t="str">
        <f t="shared" si="4"/>
        <v>Not achive</v>
      </c>
    </row>
    <row r="308" spans="1:21" x14ac:dyDescent="0.3">
      <c r="A308" s="2">
        <v>800357</v>
      </c>
      <c r="B308" s="10">
        <v>45567</v>
      </c>
      <c r="C308" s="2" t="s">
        <v>69</v>
      </c>
      <c r="D308" s="2" t="s">
        <v>83</v>
      </c>
      <c r="E308" s="2" t="s">
        <v>84</v>
      </c>
      <c r="F308" s="2" t="s">
        <v>65</v>
      </c>
      <c r="G308" s="2" t="s">
        <v>72</v>
      </c>
      <c r="H308" s="2" t="s">
        <v>25</v>
      </c>
      <c r="I308" s="2" t="s">
        <v>26</v>
      </c>
      <c r="J308" s="2" t="s">
        <v>57</v>
      </c>
      <c r="K308" s="2" t="s">
        <v>58</v>
      </c>
      <c r="L308" s="2" t="s">
        <v>123</v>
      </c>
      <c r="M308" s="2">
        <v>1</v>
      </c>
      <c r="N308" s="3">
        <v>800000</v>
      </c>
      <c r="O308" s="3">
        <v>807426.4</v>
      </c>
      <c r="P308" s="4">
        <v>10</v>
      </c>
      <c r="Q308" s="2">
        <v>0</v>
      </c>
      <c r="R308" s="3">
        <v>807426.4</v>
      </c>
      <c r="S308" s="3">
        <v>80742.64</v>
      </c>
      <c r="T308" s="3">
        <v>726683.76</v>
      </c>
      <c r="U308" t="str">
        <f t="shared" si="4"/>
        <v>Not achive</v>
      </c>
    </row>
    <row r="309" spans="1:21" x14ac:dyDescent="0.3">
      <c r="A309" s="2">
        <v>800363</v>
      </c>
      <c r="B309" s="10">
        <v>45567</v>
      </c>
      <c r="C309" s="2" t="s">
        <v>38</v>
      </c>
      <c r="D309" s="2" t="s">
        <v>39</v>
      </c>
      <c r="E309" s="2" t="s">
        <v>126</v>
      </c>
      <c r="F309" s="2" t="s">
        <v>23</v>
      </c>
      <c r="G309" s="2" t="s">
        <v>90</v>
      </c>
      <c r="H309" s="2" t="s">
        <v>25</v>
      </c>
      <c r="I309" s="2" t="s">
        <v>26</v>
      </c>
      <c r="J309" s="2" t="s">
        <v>27</v>
      </c>
      <c r="K309" s="2" t="s">
        <v>28</v>
      </c>
      <c r="L309" s="2" t="s">
        <v>123</v>
      </c>
      <c r="M309" s="2">
        <v>1</v>
      </c>
      <c r="N309" s="3">
        <v>750000</v>
      </c>
      <c r="O309" s="3">
        <v>729105.32</v>
      </c>
      <c r="P309" s="4">
        <v>2</v>
      </c>
      <c r="Q309" s="2">
        <v>0</v>
      </c>
      <c r="R309" s="3">
        <v>729105.32</v>
      </c>
      <c r="S309" s="3">
        <v>14582.11</v>
      </c>
      <c r="T309" s="3">
        <v>714523.21</v>
      </c>
      <c r="U309" t="str">
        <f t="shared" si="4"/>
        <v>Not achive</v>
      </c>
    </row>
    <row r="310" spans="1:21" x14ac:dyDescent="0.3">
      <c r="A310" s="2">
        <v>800490</v>
      </c>
      <c r="B310" s="10">
        <v>45567</v>
      </c>
      <c r="C310" s="2" t="s">
        <v>20</v>
      </c>
      <c r="D310" s="2" t="s">
        <v>74</v>
      </c>
      <c r="E310" s="2" t="s">
        <v>113</v>
      </c>
      <c r="F310" s="2" t="s">
        <v>23</v>
      </c>
      <c r="G310" s="2" t="s">
        <v>94</v>
      </c>
      <c r="H310" s="2" t="s">
        <v>25</v>
      </c>
      <c r="I310" s="2" t="s">
        <v>26</v>
      </c>
      <c r="J310" s="2" t="s">
        <v>76</v>
      </c>
      <c r="K310" s="2" t="s">
        <v>115</v>
      </c>
      <c r="L310" s="2" t="s">
        <v>73</v>
      </c>
      <c r="M310" s="2">
        <v>2</v>
      </c>
      <c r="N310" s="3">
        <v>700000</v>
      </c>
      <c r="O310" s="3">
        <v>683867.41</v>
      </c>
      <c r="P310" s="4">
        <v>10</v>
      </c>
      <c r="Q310" s="2">
        <v>0</v>
      </c>
      <c r="R310" s="3">
        <v>1367734.82</v>
      </c>
      <c r="S310" s="3">
        <v>136773.48000000001</v>
      </c>
      <c r="T310" s="3">
        <v>1230961.3400000001</v>
      </c>
      <c r="U310" t="str">
        <f t="shared" si="4"/>
        <v>Not achive</v>
      </c>
    </row>
    <row r="311" spans="1:21" x14ac:dyDescent="0.3">
      <c r="A311" s="2">
        <v>800552</v>
      </c>
      <c r="B311" s="10">
        <v>45567</v>
      </c>
      <c r="C311" s="2" t="s">
        <v>20</v>
      </c>
      <c r="D311" s="2" t="s">
        <v>30</v>
      </c>
      <c r="E311" s="2" t="s">
        <v>31</v>
      </c>
      <c r="F311" s="2" t="s">
        <v>32</v>
      </c>
      <c r="G311" s="2" t="s">
        <v>72</v>
      </c>
      <c r="H311" s="2" t="s">
        <v>25</v>
      </c>
      <c r="I311" s="2" t="s">
        <v>26</v>
      </c>
      <c r="J311" s="2" t="s">
        <v>76</v>
      </c>
      <c r="K311" s="2" t="s">
        <v>117</v>
      </c>
      <c r="L311" s="2" t="s">
        <v>123</v>
      </c>
      <c r="M311" s="2">
        <v>3</v>
      </c>
      <c r="N311" s="3">
        <v>700000</v>
      </c>
      <c r="O311" s="3">
        <v>700177.72</v>
      </c>
      <c r="P311" s="4">
        <v>0</v>
      </c>
      <c r="Q311" s="2">
        <v>0</v>
      </c>
      <c r="R311" s="3">
        <v>2100533.16</v>
      </c>
      <c r="S311" s="3">
        <v>0</v>
      </c>
      <c r="T311" s="3">
        <v>2100533.16</v>
      </c>
      <c r="U311" t="str">
        <f t="shared" si="4"/>
        <v>Achive</v>
      </c>
    </row>
    <row r="312" spans="1:21" x14ac:dyDescent="0.3">
      <c r="A312" s="2">
        <v>800329</v>
      </c>
      <c r="B312" s="10">
        <v>45569</v>
      </c>
      <c r="C312" s="2" t="s">
        <v>51</v>
      </c>
      <c r="D312" s="2" t="s">
        <v>55</v>
      </c>
      <c r="E312" s="2" t="s">
        <v>60</v>
      </c>
      <c r="F312" s="2" t="s">
        <v>23</v>
      </c>
      <c r="G312" s="2" t="s">
        <v>24</v>
      </c>
      <c r="H312" s="2" t="s">
        <v>25</v>
      </c>
      <c r="I312" s="2" t="s">
        <v>26</v>
      </c>
      <c r="J312" s="2" t="s">
        <v>105</v>
      </c>
      <c r="K312" s="2" t="s">
        <v>49</v>
      </c>
      <c r="L312" s="2" t="s">
        <v>122</v>
      </c>
      <c r="M312" s="2">
        <v>2</v>
      </c>
      <c r="N312" s="3">
        <v>950000</v>
      </c>
      <c r="O312" s="3">
        <v>937268.7</v>
      </c>
      <c r="P312" s="4">
        <v>12.5</v>
      </c>
      <c r="Q312" s="2">
        <v>0</v>
      </c>
      <c r="R312" s="3">
        <v>1874537.4</v>
      </c>
      <c r="S312" s="3">
        <v>234317.17</v>
      </c>
      <c r="T312" s="3">
        <v>1640220.23</v>
      </c>
      <c r="U312" t="str">
        <f t="shared" si="4"/>
        <v>Not achive</v>
      </c>
    </row>
    <row r="313" spans="1:21" x14ac:dyDescent="0.3">
      <c r="A313" s="2">
        <v>800419</v>
      </c>
      <c r="B313" s="10">
        <v>45569</v>
      </c>
      <c r="C313" s="2" t="s">
        <v>20</v>
      </c>
      <c r="D313" s="2" t="s">
        <v>74</v>
      </c>
      <c r="E313" s="2" t="s">
        <v>113</v>
      </c>
      <c r="F313" s="2" t="s">
        <v>32</v>
      </c>
      <c r="G313" s="2" t="s">
        <v>24</v>
      </c>
      <c r="H313" s="2" t="s">
        <v>25</v>
      </c>
      <c r="I313" s="2" t="s">
        <v>26</v>
      </c>
      <c r="J313" s="2" t="s">
        <v>48</v>
      </c>
      <c r="K313" s="2" t="s">
        <v>49</v>
      </c>
      <c r="L313" s="2" t="s">
        <v>59</v>
      </c>
      <c r="M313" s="2">
        <v>2</v>
      </c>
      <c r="N313" s="3">
        <v>1200000</v>
      </c>
      <c r="O313" s="3">
        <v>1208019.46</v>
      </c>
      <c r="P313" s="4">
        <v>0</v>
      </c>
      <c r="Q313" s="2">
        <v>0</v>
      </c>
      <c r="R313" s="3">
        <v>2416038.92</v>
      </c>
      <c r="S313" s="3">
        <v>0</v>
      </c>
      <c r="T313" s="3">
        <v>2416038.92</v>
      </c>
      <c r="U313" t="str">
        <f t="shared" si="4"/>
        <v>Achive</v>
      </c>
    </row>
    <row r="314" spans="1:21" x14ac:dyDescent="0.3">
      <c r="A314" s="2">
        <v>800643</v>
      </c>
      <c r="B314" s="10">
        <v>45569</v>
      </c>
      <c r="C314" s="2" t="s">
        <v>51</v>
      </c>
      <c r="D314" s="2" t="s">
        <v>52</v>
      </c>
      <c r="E314" s="2" t="s">
        <v>139</v>
      </c>
      <c r="F314" s="2" t="s">
        <v>46</v>
      </c>
      <c r="G314" s="2" t="s">
        <v>33</v>
      </c>
      <c r="H314" s="2" t="s">
        <v>25</v>
      </c>
      <c r="I314" s="2" t="s">
        <v>67</v>
      </c>
      <c r="J314" s="2" t="s">
        <v>68</v>
      </c>
      <c r="K314" s="2" t="s">
        <v>91</v>
      </c>
      <c r="L314" s="2" t="s">
        <v>37</v>
      </c>
      <c r="M314" s="2">
        <v>3</v>
      </c>
      <c r="N314" s="3">
        <v>1200000</v>
      </c>
      <c r="O314" s="3">
        <v>1193903.46</v>
      </c>
      <c r="P314" s="4">
        <v>0</v>
      </c>
      <c r="Q314" s="2">
        <v>0</v>
      </c>
      <c r="R314" s="3">
        <v>3581710.38</v>
      </c>
      <c r="S314" s="3">
        <v>0</v>
      </c>
      <c r="T314" s="3">
        <v>3581710.38</v>
      </c>
      <c r="U314" t="str">
        <f t="shared" si="4"/>
        <v>Achive</v>
      </c>
    </row>
    <row r="315" spans="1:21" x14ac:dyDescent="0.3">
      <c r="A315" s="2">
        <v>800583</v>
      </c>
      <c r="B315" s="10">
        <v>45570</v>
      </c>
      <c r="C315" s="2" t="s">
        <v>38</v>
      </c>
      <c r="D315" s="2" t="s">
        <v>63</v>
      </c>
      <c r="E315" s="2" t="s">
        <v>64</v>
      </c>
      <c r="F315" s="2" t="s">
        <v>32</v>
      </c>
      <c r="G315" s="2" t="s">
        <v>42</v>
      </c>
      <c r="H315" s="2" t="s">
        <v>25</v>
      </c>
      <c r="I315" s="2" t="s">
        <v>26</v>
      </c>
      <c r="J315" s="2" t="s">
        <v>105</v>
      </c>
      <c r="K315" s="2" t="s">
        <v>89</v>
      </c>
      <c r="L315" s="2" t="s">
        <v>123</v>
      </c>
      <c r="M315" s="2">
        <v>1</v>
      </c>
      <c r="N315" s="3">
        <v>950000</v>
      </c>
      <c r="O315" s="3">
        <v>922836.98</v>
      </c>
      <c r="P315" s="4">
        <v>0</v>
      </c>
      <c r="Q315" s="2">
        <v>0</v>
      </c>
      <c r="R315" s="3">
        <v>922836.98</v>
      </c>
      <c r="S315" s="3">
        <v>0</v>
      </c>
      <c r="T315" s="3">
        <v>922836.98</v>
      </c>
      <c r="U315" t="str">
        <f t="shared" si="4"/>
        <v>Not achive</v>
      </c>
    </row>
    <row r="316" spans="1:21" x14ac:dyDescent="0.3">
      <c r="A316" s="2">
        <v>800137</v>
      </c>
      <c r="B316" s="10">
        <v>45571</v>
      </c>
      <c r="C316" s="2" t="s">
        <v>38</v>
      </c>
      <c r="D316" s="2" t="s">
        <v>39</v>
      </c>
      <c r="E316" s="2" t="s">
        <v>40</v>
      </c>
      <c r="F316" s="2" t="s">
        <v>23</v>
      </c>
      <c r="G316" s="2" t="s">
        <v>72</v>
      </c>
      <c r="H316" s="2" t="s">
        <v>25</v>
      </c>
      <c r="I316" s="2" t="s">
        <v>26</v>
      </c>
      <c r="J316" s="2" t="s">
        <v>120</v>
      </c>
      <c r="K316" s="2" t="s">
        <v>77</v>
      </c>
      <c r="L316" s="2" t="s">
        <v>87</v>
      </c>
      <c r="M316" s="2">
        <v>2</v>
      </c>
      <c r="N316" s="3">
        <v>1900000</v>
      </c>
      <c r="O316" s="3">
        <v>1935503.74</v>
      </c>
      <c r="P316" s="4">
        <v>12.5</v>
      </c>
      <c r="Q316" s="2">
        <v>0</v>
      </c>
      <c r="R316" s="3">
        <v>3871007.48</v>
      </c>
      <c r="S316" s="3">
        <v>483875.93</v>
      </c>
      <c r="T316" s="3">
        <v>3387131.55</v>
      </c>
      <c r="U316" t="str">
        <f t="shared" si="4"/>
        <v>Achive</v>
      </c>
    </row>
    <row r="317" spans="1:21" x14ac:dyDescent="0.3">
      <c r="A317" s="2">
        <v>800240</v>
      </c>
      <c r="B317" s="10">
        <v>45571</v>
      </c>
      <c r="C317" s="2" t="s">
        <v>51</v>
      </c>
      <c r="D317" s="2" t="s">
        <v>110</v>
      </c>
      <c r="E317" s="2" t="s">
        <v>111</v>
      </c>
      <c r="F317" s="2" t="s">
        <v>46</v>
      </c>
      <c r="G317" s="2" t="s">
        <v>66</v>
      </c>
      <c r="H317" s="2" t="s">
        <v>25</v>
      </c>
      <c r="I317" s="2" t="s">
        <v>26</v>
      </c>
      <c r="J317" s="2" t="s">
        <v>27</v>
      </c>
      <c r="K317" s="2" t="s">
        <v>58</v>
      </c>
      <c r="L317" s="2" t="s">
        <v>87</v>
      </c>
      <c r="M317" s="2">
        <v>1</v>
      </c>
      <c r="N317" s="3">
        <v>750000</v>
      </c>
      <c r="O317" s="3">
        <v>754903.63</v>
      </c>
      <c r="P317" s="4">
        <v>0</v>
      </c>
      <c r="Q317" s="2">
        <v>0</v>
      </c>
      <c r="R317" s="3">
        <v>754903.63</v>
      </c>
      <c r="S317" s="3">
        <v>0</v>
      </c>
      <c r="T317" s="3">
        <v>754903.63</v>
      </c>
      <c r="U317" t="str">
        <f t="shared" si="4"/>
        <v>Not achive</v>
      </c>
    </row>
    <row r="318" spans="1:21" x14ac:dyDescent="0.3">
      <c r="A318" s="2">
        <v>800607</v>
      </c>
      <c r="B318" s="10">
        <v>45571</v>
      </c>
      <c r="C318" s="2" t="s">
        <v>69</v>
      </c>
      <c r="D318" s="2" t="s">
        <v>95</v>
      </c>
      <c r="E318" s="2" t="s">
        <v>135</v>
      </c>
      <c r="F318" s="2" t="s">
        <v>46</v>
      </c>
      <c r="G318" s="2" t="s">
        <v>47</v>
      </c>
      <c r="H318" s="2" t="s">
        <v>25</v>
      </c>
      <c r="I318" s="2" t="s">
        <v>26</v>
      </c>
      <c r="J318" s="2" t="s">
        <v>120</v>
      </c>
      <c r="K318" s="2" t="s">
        <v>49</v>
      </c>
      <c r="L318" s="2" t="s">
        <v>29</v>
      </c>
      <c r="M318" s="2">
        <v>2</v>
      </c>
      <c r="N318" s="3">
        <v>1900000</v>
      </c>
      <c r="O318" s="3">
        <v>1901710.38</v>
      </c>
      <c r="P318" s="4">
        <v>5</v>
      </c>
      <c r="Q318" s="2">
        <v>0</v>
      </c>
      <c r="R318" s="3">
        <v>3803420.76</v>
      </c>
      <c r="S318" s="3">
        <v>190171.04</v>
      </c>
      <c r="T318" s="3">
        <v>3613249.72</v>
      </c>
      <c r="U318" t="str">
        <f t="shared" si="4"/>
        <v>Achive</v>
      </c>
    </row>
    <row r="319" spans="1:21" x14ac:dyDescent="0.3">
      <c r="A319" s="2">
        <v>800623</v>
      </c>
      <c r="B319" s="10">
        <v>45571</v>
      </c>
      <c r="C319" s="2" t="s">
        <v>38</v>
      </c>
      <c r="D319" s="2" t="s">
        <v>79</v>
      </c>
      <c r="E319" s="2" t="s">
        <v>133</v>
      </c>
      <c r="F319" s="2" t="s">
        <v>65</v>
      </c>
      <c r="G319" s="2" t="s">
        <v>66</v>
      </c>
      <c r="H319" s="2" t="s">
        <v>25</v>
      </c>
      <c r="I319" s="2" t="s">
        <v>34</v>
      </c>
      <c r="J319" s="2" t="s">
        <v>35</v>
      </c>
      <c r="K319" s="2" t="s">
        <v>36</v>
      </c>
      <c r="L319" s="2" t="s">
        <v>78</v>
      </c>
      <c r="M319" s="2">
        <v>6</v>
      </c>
      <c r="N319" s="3">
        <v>550000</v>
      </c>
      <c r="O319" s="3">
        <v>550096.62</v>
      </c>
      <c r="P319" s="4">
        <v>7.5</v>
      </c>
      <c r="Q319" s="2">
        <v>0</v>
      </c>
      <c r="R319" s="3">
        <v>3300579.72</v>
      </c>
      <c r="S319" s="3">
        <v>247543.48</v>
      </c>
      <c r="T319" s="3">
        <v>3053036.24</v>
      </c>
      <c r="U319" t="str">
        <f t="shared" si="4"/>
        <v>Achive</v>
      </c>
    </row>
    <row r="320" spans="1:21" x14ac:dyDescent="0.3">
      <c r="A320" s="2">
        <v>800029</v>
      </c>
      <c r="B320" s="10">
        <v>45572</v>
      </c>
      <c r="C320" s="2" t="s">
        <v>69</v>
      </c>
      <c r="D320" s="2" t="s">
        <v>83</v>
      </c>
      <c r="E320" s="2" t="s">
        <v>84</v>
      </c>
      <c r="F320" s="2" t="s">
        <v>32</v>
      </c>
      <c r="G320" s="2" t="s">
        <v>33</v>
      </c>
      <c r="H320" s="2" t="s">
        <v>25</v>
      </c>
      <c r="I320" s="2" t="s">
        <v>67</v>
      </c>
      <c r="J320" s="2" t="s">
        <v>85</v>
      </c>
      <c r="K320" s="2" t="s">
        <v>91</v>
      </c>
      <c r="L320" s="2" t="s">
        <v>29</v>
      </c>
      <c r="M320" s="2">
        <v>1</v>
      </c>
      <c r="N320" s="3">
        <v>1500000</v>
      </c>
      <c r="O320" s="3">
        <v>1460643.29</v>
      </c>
      <c r="P320" s="4">
        <v>0</v>
      </c>
      <c r="Q320" s="2">
        <v>0</v>
      </c>
      <c r="R320" s="3">
        <v>1460643.29</v>
      </c>
      <c r="S320" s="3">
        <v>0</v>
      </c>
      <c r="T320" s="3">
        <v>1460643.29</v>
      </c>
      <c r="U320" t="str">
        <f t="shared" si="4"/>
        <v>Not achive</v>
      </c>
    </row>
    <row r="321" spans="1:21" x14ac:dyDescent="0.3">
      <c r="A321" s="2">
        <v>800092</v>
      </c>
      <c r="B321" s="10">
        <v>45572</v>
      </c>
      <c r="C321" s="2" t="s">
        <v>20</v>
      </c>
      <c r="D321" s="2" t="s">
        <v>21</v>
      </c>
      <c r="E321" s="2" t="s">
        <v>98</v>
      </c>
      <c r="F321" s="2" t="s">
        <v>41</v>
      </c>
      <c r="G321" s="2" t="s">
        <v>116</v>
      </c>
      <c r="H321" s="2" t="s">
        <v>25</v>
      </c>
      <c r="I321" s="2" t="s">
        <v>67</v>
      </c>
      <c r="J321" s="2" t="s">
        <v>68</v>
      </c>
      <c r="K321" s="2" t="s">
        <v>117</v>
      </c>
      <c r="L321" s="2" t="s">
        <v>50</v>
      </c>
      <c r="M321" s="2">
        <v>1</v>
      </c>
      <c r="N321" s="3">
        <v>1200000</v>
      </c>
      <c r="O321" s="3">
        <v>1178088</v>
      </c>
      <c r="P321" s="4">
        <v>0</v>
      </c>
      <c r="Q321" s="2">
        <v>0</v>
      </c>
      <c r="R321" s="3">
        <v>1178088</v>
      </c>
      <c r="S321" s="3">
        <v>0</v>
      </c>
      <c r="T321" s="3">
        <v>1178088</v>
      </c>
      <c r="U321" t="str">
        <f t="shared" si="4"/>
        <v>Not achive</v>
      </c>
    </row>
    <row r="322" spans="1:21" x14ac:dyDescent="0.3">
      <c r="A322" s="2">
        <v>800093</v>
      </c>
      <c r="B322" s="10">
        <v>45572</v>
      </c>
      <c r="C322" s="2" t="s">
        <v>20</v>
      </c>
      <c r="D322" s="2" t="s">
        <v>30</v>
      </c>
      <c r="E322" s="2" t="s">
        <v>31</v>
      </c>
      <c r="F322" s="2" t="s">
        <v>23</v>
      </c>
      <c r="G322" s="2" t="s">
        <v>42</v>
      </c>
      <c r="H322" s="2" t="s">
        <v>25</v>
      </c>
      <c r="I322" s="2" t="s">
        <v>26</v>
      </c>
      <c r="J322" s="2" t="s">
        <v>27</v>
      </c>
      <c r="K322" s="2" t="s">
        <v>28</v>
      </c>
      <c r="L322" s="2" t="s">
        <v>92</v>
      </c>
      <c r="M322" s="2">
        <v>2</v>
      </c>
      <c r="N322" s="3">
        <v>750000</v>
      </c>
      <c r="O322" s="3">
        <v>762714.49</v>
      </c>
      <c r="P322" s="4">
        <v>5</v>
      </c>
      <c r="Q322" s="2">
        <v>1</v>
      </c>
      <c r="R322" s="3">
        <v>1525428.98</v>
      </c>
      <c r="S322" s="3">
        <v>76271.45</v>
      </c>
      <c r="T322" s="3">
        <v>1449157.53</v>
      </c>
      <c r="U322" t="str">
        <f t="shared" ref="U322:U385" si="5">IF(T322&gt;2000000,"Achive","Not achive")</f>
        <v>Not achive</v>
      </c>
    </row>
    <row r="323" spans="1:21" x14ac:dyDescent="0.3">
      <c r="A323" s="2">
        <v>800521</v>
      </c>
      <c r="B323" s="10">
        <v>45572</v>
      </c>
      <c r="C323" s="2" t="s">
        <v>69</v>
      </c>
      <c r="D323" s="2" t="s">
        <v>70</v>
      </c>
      <c r="E323" s="2" t="s">
        <v>71</v>
      </c>
      <c r="F323" s="2" t="s">
        <v>41</v>
      </c>
      <c r="G323" s="2" t="s">
        <v>54</v>
      </c>
      <c r="H323" s="2" t="s">
        <v>25</v>
      </c>
      <c r="I323" s="2" t="s">
        <v>26</v>
      </c>
      <c r="J323" s="2" t="s">
        <v>57</v>
      </c>
      <c r="K323" s="2" t="s">
        <v>103</v>
      </c>
      <c r="L323" s="2" t="s">
        <v>50</v>
      </c>
      <c r="M323" s="2">
        <v>1</v>
      </c>
      <c r="N323" s="3">
        <v>800000</v>
      </c>
      <c r="O323" s="3">
        <v>786955.73</v>
      </c>
      <c r="P323" s="4">
        <v>10</v>
      </c>
      <c r="Q323" s="2">
        <v>0</v>
      </c>
      <c r="R323" s="3">
        <v>786955.73</v>
      </c>
      <c r="S323" s="3">
        <v>78695.570000000007</v>
      </c>
      <c r="T323" s="3">
        <v>708260.16</v>
      </c>
      <c r="U323" t="str">
        <f t="shared" si="5"/>
        <v>Not achive</v>
      </c>
    </row>
    <row r="324" spans="1:21" x14ac:dyDescent="0.3">
      <c r="A324" s="2">
        <v>800644</v>
      </c>
      <c r="B324" s="10">
        <v>45573</v>
      </c>
      <c r="C324" s="2" t="s">
        <v>38</v>
      </c>
      <c r="D324" s="2" t="s">
        <v>79</v>
      </c>
      <c r="E324" s="2" t="s">
        <v>133</v>
      </c>
      <c r="F324" s="2" t="s">
        <v>46</v>
      </c>
      <c r="G324" s="2" t="s">
        <v>66</v>
      </c>
      <c r="H324" s="2" t="s">
        <v>25</v>
      </c>
      <c r="I324" s="2" t="s">
        <v>67</v>
      </c>
      <c r="J324" s="2" t="s">
        <v>85</v>
      </c>
      <c r="K324" s="2" t="s">
        <v>89</v>
      </c>
      <c r="L324" s="2" t="s">
        <v>122</v>
      </c>
      <c r="M324" s="2">
        <v>2</v>
      </c>
      <c r="N324" s="3">
        <v>1500000</v>
      </c>
      <c r="O324" s="3">
        <v>1480599.01</v>
      </c>
      <c r="P324" s="4">
        <v>0</v>
      </c>
      <c r="Q324" s="2">
        <v>0</v>
      </c>
      <c r="R324" s="3">
        <v>2961198.02</v>
      </c>
      <c r="S324" s="3">
        <v>0</v>
      </c>
      <c r="T324" s="3">
        <v>2961198.02</v>
      </c>
      <c r="U324" t="str">
        <f t="shared" si="5"/>
        <v>Achive</v>
      </c>
    </row>
    <row r="325" spans="1:21" x14ac:dyDescent="0.3">
      <c r="A325" s="2">
        <v>800224</v>
      </c>
      <c r="B325" s="10">
        <v>45574</v>
      </c>
      <c r="C325" s="2" t="s">
        <v>69</v>
      </c>
      <c r="D325" s="2" t="s">
        <v>83</v>
      </c>
      <c r="E325" s="2" t="s">
        <v>84</v>
      </c>
      <c r="F325" s="2" t="s">
        <v>32</v>
      </c>
      <c r="G325" s="2" t="s">
        <v>54</v>
      </c>
      <c r="H325" s="2" t="s">
        <v>25</v>
      </c>
      <c r="I325" s="2" t="s">
        <v>26</v>
      </c>
      <c r="J325" s="2" t="s">
        <v>27</v>
      </c>
      <c r="K325" s="2" t="s">
        <v>99</v>
      </c>
      <c r="L325" s="2" t="s">
        <v>73</v>
      </c>
      <c r="M325" s="2">
        <v>2</v>
      </c>
      <c r="N325" s="3">
        <v>750000</v>
      </c>
      <c r="O325" s="3">
        <v>731919.81</v>
      </c>
      <c r="P325" s="4">
        <v>5</v>
      </c>
      <c r="Q325" s="2">
        <v>0</v>
      </c>
      <c r="R325" s="3">
        <v>1463839.62</v>
      </c>
      <c r="S325" s="3">
        <v>73191.98</v>
      </c>
      <c r="T325" s="3">
        <v>1390647.64</v>
      </c>
      <c r="U325" t="str">
        <f t="shared" si="5"/>
        <v>Not achive</v>
      </c>
    </row>
    <row r="326" spans="1:21" x14ac:dyDescent="0.3">
      <c r="A326" s="2">
        <v>800233</v>
      </c>
      <c r="B326" s="10">
        <v>45575</v>
      </c>
      <c r="C326" s="2" t="s">
        <v>69</v>
      </c>
      <c r="D326" s="2" t="s">
        <v>95</v>
      </c>
      <c r="E326" s="2" t="s">
        <v>131</v>
      </c>
      <c r="F326" s="2" t="s">
        <v>65</v>
      </c>
      <c r="G326" s="2" t="s">
        <v>90</v>
      </c>
      <c r="H326" s="2" t="s">
        <v>25</v>
      </c>
      <c r="I326" s="2" t="s">
        <v>34</v>
      </c>
      <c r="J326" s="2" t="s">
        <v>35</v>
      </c>
      <c r="K326" s="2" t="s">
        <v>36</v>
      </c>
      <c r="L326" s="2" t="s">
        <v>37</v>
      </c>
      <c r="M326" s="2">
        <v>2</v>
      </c>
      <c r="N326" s="3">
        <v>550000</v>
      </c>
      <c r="O326" s="3">
        <v>549379.19999999995</v>
      </c>
      <c r="P326" s="4">
        <v>5</v>
      </c>
      <c r="Q326" s="2">
        <v>0</v>
      </c>
      <c r="R326" s="3">
        <v>1098758.3999999999</v>
      </c>
      <c r="S326" s="3">
        <v>54937.919999999998</v>
      </c>
      <c r="T326" s="3">
        <v>1043820.48</v>
      </c>
      <c r="U326" t="str">
        <f t="shared" si="5"/>
        <v>Not achive</v>
      </c>
    </row>
    <row r="327" spans="1:21" x14ac:dyDescent="0.3">
      <c r="A327" s="2">
        <v>800280</v>
      </c>
      <c r="B327" s="10">
        <v>45575</v>
      </c>
      <c r="C327" s="2" t="s">
        <v>69</v>
      </c>
      <c r="D327" s="2" t="s">
        <v>95</v>
      </c>
      <c r="E327" s="2" t="s">
        <v>135</v>
      </c>
      <c r="F327" s="2" t="s">
        <v>41</v>
      </c>
      <c r="G327" s="2" t="s">
        <v>116</v>
      </c>
      <c r="H327" s="2" t="s">
        <v>25</v>
      </c>
      <c r="I327" s="2" t="s">
        <v>67</v>
      </c>
      <c r="J327" s="2" t="s">
        <v>68</v>
      </c>
      <c r="K327" s="2" t="s">
        <v>49</v>
      </c>
      <c r="L327" s="2" t="s">
        <v>123</v>
      </c>
      <c r="M327" s="2">
        <v>2</v>
      </c>
      <c r="N327" s="3">
        <v>1200000</v>
      </c>
      <c r="O327" s="3">
        <v>1221099.73</v>
      </c>
      <c r="P327" s="4">
        <v>0</v>
      </c>
      <c r="Q327" s="2">
        <v>0</v>
      </c>
      <c r="R327" s="3">
        <v>2442199.46</v>
      </c>
      <c r="S327" s="3">
        <v>0</v>
      </c>
      <c r="T327" s="3">
        <v>2442199.46</v>
      </c>
      <c r="U327" t="str">
        <f t="shared" si="5"/>
        <v>Achive</v>
      </c>
    </row>
    <row r="328" spans="1:21" x14ac:dyDescent="0.3">
      <c r="A328" s="2">
        <v>800182</v>
      </c>
      <c r="B328" s="10">
        <v>45576</v>
      </c>
      <c r="C328" s="2" t="s">
        <v>51</v>
      </c>
      <c r="D328" s="2" t="s">
        <v>110</v>
      </c>
      <c r="E328" s="2" t="s">
        <v>134</v>
      </c>
      <c r="F328" s="2" t="s">
        <v>65</v>
      </c>
      <c r="G328" s="2" t="s">
        <v>72</v>
      </c>
      <c r="H328" s="2" t="s">
        <v>25</v>
      </c>
      <c r="I328" s="2" t="s">
        <v>26</v>
      </c>
      <c r="J328" s="2" t="s">
        <v>57</v>
      </c>
      <c r="K328" s="2" t="s">
        <v>58</v>
      </c>
      <c r="L328" s="2" t="s">
        <v>87</v>
      </c>
      <c r="M328" s="2">
        <v>2</v>
      </c>
      <c r="N328" s="3">
        <v>800000</v>
      </c>
      <c r="O328" s="3">
        <v>815714.26</v>
      </c>
      <c r="P328" s="4">
        <v>10</v>
      </c>
      <c r="Q328" s="2">
        <v>0</v>
      </c>
      <c r="R328" s="3">
        <v>1631428.52</v>
      </c>
      <c r="S328" s="3">
        <v>163142.85</v>
      </c>
      <c r="T328" s="3">
        <v>1468285.67</v>
      </c>
      <c r="U328" t="str">
        <f t="shared" si="5"/>
        <v>Not achive</v>
      </c>
    </row>
    <row r="329" spans="1:21" x14ac:dyDescent="0.3">
      <c r="A329" s="2">
        <v>800323</v>
      </c>
      <c r="B329" s="10">
        <v>45577</v>
      </c>
      <c r="C329" s="2" t="s">
        <v>69</v>
      </c>
      <c r="D329" s="2" t="s">
        <v>95</v>
      </c>
      <c r="E329" s="2" t="s">
        <v>131</v>
      </c>
      <c r="F329" s="2" t="s">
        <v>41</v>
      </c>
      <c r="G329" s="2" t="s">
        <v>100</v>
      </c>
      <c r="H329" s="2" t="s">
        <v>25</v>
      </c>
      <c r="I329" s="2" t="s">
        <v>26</v>
      </c>
      <c r="J329" s="2" t="s">
        <v>27</v>
      </c>
      <c r="K329" s="2" t="s">
        <v>28</v>
      </c>
      <c r="L329" s="2" t="s">
        <v>92</v>
      </c>
      <c r="M329" s="2">
        <v>2</v>
      </c>
      <c r="N329" s="3">
        <v>750000</v>
      </c>
      <c r="O329" s="3">
        <v>757584.93</v>
      </c>
      <c r="P329" s="4">
        <v>12.5</v>
      </c>
      <c r="Q329" s="2">
        <v>0</v>
      </c>
      <c r="R329" s="3">
        <v>1515169.86</v>
      </c>
      <c r="S329" s="3">
        <v>189396.23</v>
      </c>
      <c r="T329" s="3">
        <v>1325773.6299999999</v>
      </c>
      <c r="U329" t="str">
        <f t="shared" si="5"/>
        <v>Not achive</v>
      </c>
    </row>
    <row r="330" spans="1:21" x14ac:dyDescent="0.3">
      <c r="A330" s="2">
        <v>800373</v>
      </c>
      <c r="B330" s="10">
        <v>45578</v>
      </c>
      <c r="C330" s="2" t="s">
        <v>51</v>
      </c>
      <c r="D330" s="2" t="s">
        <v>110</v>
      </c>
      <c r="E330" s="2" t="s">
        <v>111</v>
      </c>
      <c r="F330" s="2" t="s">
        <v>23</v>
      </c>
      <c r="G330" s="2" t="s">
        <v>24</v>
      </c>
      <c r="H330" s="2" t="s">
        <v>25</v>
      </c>
      <c r="I330" s="2" t="s">
        <v>43</v>
      </c>
      <c r="J330" s="2" t="s">
        <v>44</v>
      </c>
      <c r="K330" s="2" t="s">
        <v>45</v>
      </c>
      <c r="L330" s="2" t="s">
        <v>59</v>
      </c>
      <c r="M330" s="2">
        <v>4</v>
      </c>
      <c r="N330" s="3">
        <v>800000</v>
      </c>
      <c r="O330" s="3">
        <v>785179.45</v>
      </c>
      <c r="P330" s="4">
        <v>12.5</v>
      </c>
      <c r="Q330" s="2">
        <v>0</v>
      </c>
      <c r="R330" s="3">
        <v>3140717.8</v>
      </c>
      <c r="S330" s="3">
        <v>392589.72</v>
      </c>
      <c r="T330" s="3">
        <v>2748128.08</v>
      </c>
      <c r="U330" t="str">
        <f t="shared" si="5"/>
        <v>Achive</v>
      </c>
    </row>
    <row r="331" spans="1:21" x14ac:dyDescent="0.3">
      <c r="A331" s="2">
        <v>800508</v>
      </c>
      <c r="B331" s="10">
        <v>45578</v>
      </c>
      <c r="C331" s="2" t="s">
        <v>51</v>
      </c>
      <c r="D331" s="2" t="s">
        <v>110</v>
      </c>
      <c r="E331" s="2" t="s">
        <v>124</v>
      </c>
      <c r="F331" s="2" t="s">
        <v>23</v>
      </c>
      <c r="G331" s="2" t="s">
        <v>33</v>
      </c>
      <c r="H331" s="2" t="s">
        <v>25</v>
      </c>
      <c r="I331" s="2" t="s">
        <v>43</v>
      </c>
      <c r="J331" s="2" t="s">
        <v>101</v>
      </c>
      <c r="K331" s="2" t="s">
        <v>102</v>
      </c>
      <c r="L331" s="2" t="s">
        <v>78</v>
      </c>
      <c r="M331" s="2">
        <v>2</v>
      </c>
      <c r="N331" s="3">
        <v>1000000</v>
      </c>
      <c r="O331" s="3">
        <v>1009036.56</v>
      </c>
      <c r="P331" s="4">
        <v>5</v>
      </c>
      <c r="Q331" s="2">
        <v>0</v>
      </c>
      <c r="R331" s="3">
        <v>2018073.12</v>
      </c>
      <c r="S331" s="3">
        <v>100903.66</v>
      </c>
      <c r="T331" s="3">
        <v>1917169.46</v>
      </c>
      <c r="U331" t="str">
        <f t="shared" si="5"/>
        <v>Not achive</v>
      </c>
    </row>
    <row r="332" spans="1:21" x14ac:dyDescent="0.3">
      <c r="A332" s="2">
        <v>800311</v>
      </c>
      <c r="B332" s="10">
        <v>45579</v>
      </c>
      <c r="C332" s="2" t="s">
        <v>38</v>
      </c>
      <c r="D332" s="2" t="s">
        <v>79</v>
      </c>
      <c r="E332" s="2" t="s">
        <v>133</v>
      </c>
      <c r="F332" s="2" t="s">
        <v>41</v>
      </c>
      <c r="G332" s="2" t="s">
        <v>42</v>
      </c>
      <c r="H332" s="2" t="s">
        <v>25</v>
      </c>
      <c r="I332" s="2" t="s">
        <v>26</v>
      </c>
      <c r="J332" s="2" t="s">
        <v>120</v>
      </c>
      <c r="K332" s="2" t="s">
        <v>49</v>
      </c>
      <c r="L332" s="2" t="s">
        <v>122</v>
      </c>
      <c r="M332" s="2">
        <v>3</v>
      </c>
      <c r="N332" s="3">
        <v>1900000</v>
      </c>
      <c r="O332" s="3">
        <v>1926313.59</v>
      </c>
      <c r="P332" s="4">
        <v>5</v>
      </c>
      <c r="Q332" s="2">
        <v>0</v>
      </c>
      <c r="R332" s="3">
        <v>5778940.7699999996</v>
      </c>
      <c r="S332" s="3">
        <v>288947.03999999998</v>
      </c>
      <c r="T332" s="3">
        <v>5489993.7300000004</v>
      </c>
      <c r="U332" t="str">
        <f t="shared" si="5"/>
        <v>Achive</v>
      </c>
    </row>
    <row r="333" spans="1:21" x14ac:dyDescent="0.3">
      <c r="A333" s="2">
        <v>800379</v>
      </c>
      <c r="B333" s="10">
        <v>45579</v>
      </c>
      <c r="C333" s="2" t="s">
        <v>51</v>
      </c>
      <c r="D333" s="2" t="s">
        <v>106</v>
      </c>
      <c r="E333" s="2" t="s">
        <v>128</v>
      </c>
      <c r="F333" s="2" t="s">
        <v>23</v>
      </c>
      <c r="G333" s="2" t="s">
        <v>54</v>
      </c>
      <c r="H333" s="2" t="s">
        <v>25</v>
      </c>
      <c r="I333" s="2" t="s">
        <v>67</v>
      </c>
      <c r="J333" s="2" t="s">
        <v>85</v>
      </c>
      <c r="K333" s="2" t="s">
        <v>89</v>
      </c>
      <c r="L333" s="2" t="s">
        <v>50</v>
      </c>
      <c r="M333" s="2">
        <v>2</v>
      </c>
      <c r="N333" s="3">
        <v>1500000</v>
      </c>
      <c r="O333" s="3">
        <v>1471632.77</v>
      </c>
      <c r="P333" s="4">
        <v>0</v>
      </c>
      <c r="Q333" s="2">
        <v>0</v>
      </c>
      <c r="R333" s="3">
        <v>2943265.54</v>
      </c>
      <c r="S333" s="3">
        <v>0</v>
      </c>
      <c r="T333" s="3">
        <v>2943265.54</v>
      </c>
      <c r="U333" t="str">
        <f t="shared" si="5"/>
        <v>Achive</v>
      </c>
    </row>
    <row r="334" spans="1:21" x14ac:dyDescent="0.3">
      <c r="A334" s="2">
        <v>800298</v>
      </c>
      <c r="B334" s="10">
        <v>45580</v>
      </c>
      <c r="C334" s="2" t="s">
        <v>69</v>
      </c>
      <c r="D334" s="2" t="s">
        <v>70</v>
      </c>
      <c r="E334" s="2" t="s">
        <v>136</v>
      </c>
      <c r="F334" s="2" t="s">
        <v>32</v>
      </c>
      <c r="G334" s="2" t="s">
        <v>24</v>
      </c>
      <c r="H334" s="2" t="s">
        <v>25</v>
      </c>
      <c r="I334" s="2" t="s">
        <v>26</v>
      </c>
      <c r="J334" s="2" t="s">
        <v>105</v>
      </c>
      <c r="K334" s="2" t="s">
        <v>49</v>
      </c>
      <c r="L334" s="2" t="s">
        <v>78</v>
      </c>
      <c r="M334" s="2">
        <v>3</v>
      </c>
      <c r="N334" s="3">
        <v>950000</v>
      </c>
      <c r="O334" s="3">
        <v>960966.33</v>
      </c>
      <c r="P334" s="4">
        <v>0</v>
      </c>
      <c r="Q334" s="2">
        <v>0</v>
      </c>
      <c r="R334" s="3">
        <v>2882898.99</v>
      </c>
      <c r="S334" s="3">
        <v>0</v>
      </c>
      <c r="T334" s="3">
        <v>2882898.99</v>
      </c>
      <c r="U334" t="str">
        <f t="shared" si="5"/>
        <v>Achive</v>
      </c>
    </row>
    <row r="335" spans="1:21" x14ac:dyDescent="0.3">
      <c r="A335" s="2">
        <v>800142</v>
      </c>
      <c r="B335" s="10">
        <v>45581</v>
      </c>
      <c r="C335" s="2" t="s">
        <v>69</v>
      </c>
      <c r="D335" s="2" t="s">
        <v>83</v>
      </c>
      <c r="E335" s="2" t="s">
        <v>84</v>
      </c>
      <c r="F335" s="2" t="s">
        <v>23</v>
      </c>
      <c r="G335" s="2" t="s">
        <v>24</v>
      </c>
      <c r="H335" s="2" t="s">
        <v>25</v>
      </c>
      <c r="I335" s="2" t="s">
        <v>26</v>
      </c>
      <c r="J335" s="2" t="s">
        <v>81</v>
      </c>
      <c r="K335" s="2" t="s">
        <v>77</v>
      </c>
      <c r="L335" s="2" t="s">
        <v>122</v>
      </c>
      <c r="M335" s="2">
        <v>1</v>
      </c>
      <c r="N335" s="3">
        <v>1700000</v>
      </c>
      <c r="O335" s="3">
        <v>1651202.63</v>
      </c>
      <c r="P335" s="4">
        <v>0</v>
      </c>
      <c r="Q335" s="2">
        <v>0</v>
      </c>
      <c r="R335" s="3">
        <v>1651202.63</v>
      </c>
      <c r="S335" s="3">
        <v>0</v>
      </c>
      <c r="T335" s="3">
        <v>1651202.63</v>
      </c>
      <c r="U335" t="str">
        <f t="shared" si="5"/>
        <v>Not achive</v>
      </c>
    </row>
    <row r="336" spans="1:21" x14ac:dyDescent="0.3">
      <c r="A336" s="2">
        <v>800444</v>
      </c>
      <c r="B336" s="10">
        <v>45581</v>
      </c>
      <c r="C336" s="2" t="s">
        <v>69</v>
      </c>
      <c r="D336" s="2" t="s">
        <v>95</v>
      </c>
      <c r="E336" s="2" t="s">
        <v>135</v>
      </c>
      <c r="F336" s="2" t="s">
        <v>65</v>
      </c>
      <c r="G336" s="2" t="s">
        <v>24</v>
      </c>
      <c r="H336" s="2" t="s">
        <v>25</v>
      </c>
      <c r="I336" s="2" t="s">
        <v>26</v>
      </c>
      <c r="J336" s="2" t="s">
        <v>81</v>
      </c>
      <c r="K336" s="2" t="s">
        <v>77</v>
      </c>
      <c r="L336" s="2" t="s">
        <v>122</v>
      </c>
      <c r="M336" s="2">
        <v>3</v>
      </c>
      <c r="N336" s="3">
        <v>1700000</v>
      </c>
      <c r="O336" s="3">
        <v>1672449.65</v>
      </c>
      <c r="P336" s="4">
        <v>0</v>
      </c>
      <c r="Q336" s="2">
        <v>0</v>
      </c>
      <c r="R336" s="3">
        <v>5017348.95</v>
      </c>
      <c r="S336" s="3">
        <v>0</v>
      </c>
      <c r="T336" s="3">
        <v>5017348.95</v>
      </c>
      <c r="U336" t="str">
        <f t="shared" si="5"/>
        <v>Achive</v>
      </c>
    </row>
    <row r="337" spans="1:21" x14ac:dyDescent="0.3">
      <c r="A337" s="2">
        <v>800600</v>
      </c>
      <c r="B337" s="10">
        <v>45581</v>
      </c>
      <c r="C337" s="2" t="s">
        <v>51</v>
      </c>
      <c r="D337" s="2" t="s">
        <v>52</v>
      </c>
      <c r="E337" s="2" t="s">
        <v>139</v>
      </c>
      <c r="F337" s="2" t="s">
        <v>32</v>
      </c>
      <c r="G337" s="2" t="s">
        <v>72</v>
      </c>
      <c r="H337" s="2" t="s">
        <v>25</v>
      </c>
      <c r="I337" s="2" t="s">
        <v>67</v>
      </c>
      <c r="J337" s="2" t="s">
        <v>68</v>
      </c>
      <c r="K337" s="2" t="s">
        <v>91</v>
      </c>
      <c r="L337" s="2" t="s">
        <v>123</v>
      </c>
      <c r="M337" s="2">
        <v>3</v>
      </c>
      <c r="N337" s="3">
        <v>1200000</v>
      </c>
      <c r="O337" s="3">
        <v>1171323.23</v>
      </c>
      <c r="P337" s="4">
        <v>2</v>
      </c>
      <c r="Q337" s="2">
        <v>0</v>
      </c>
      <c r="R337" s="3">
        <v>3513969.69</v>
      </c>
      <c r="S337" s="3">
        <v>70279.39</v>
      </c>
      <c r="T337" s="3">
        <v>3443690.3</v>
      </c>
      <c r="U337" t="str">
        <f t="shared" si="5"/>
        <v>Achive</v>
      </c>
    </row>
    <row r="338" spans="1:21" x14ac:dyDescent="0.3">
      <c r="A338" s="2">
        <v>800045</v>
      </c>
      <c r="B338" s="10">
        <v>45582</v>
      </c>
      <c r="C338" s="2" t="s">
        <v>51</v>
      </c>
      <c r="D338" s="2" t="s">
        <v>52</v>
      </c>
      <c r="E338" s="2" t="s">
        <v>132</v>
      </c>
      <c r="F338" s="2" t="s">
        <v>23</v>
      </c>
      <c r="G338" s="2" t="s">
        <v>54</v>
      </c>
      <c r="H338" s="2" t="s">
        <v>25</v>
      </c>
      <c r="I338" s="2" t="s">
        <v>26</v>
      </c>
      <c r="J338" s="2" t="s">
        <v>120</v>
      </c>
      <c r="K338" s="2" t="s">
        <v>49</v>
      </c>
      <c r="L338" s="2" t="s">
        <v>92</v>
      </c>
      <c r="M338" s="2">
        <v>2</v>
      </c>
      <c r="N338" s="3">
        <v>1900000</v>
      </c>
      <c r="O338" s="3">
        <v>1888313.07</v>
      </c>
      <c r="P338" s="4">
        <v>7.5</v>
      </c>
      <c r="Q338" s="2">
        <v>0</v>
      </c>
      <c r="R338" s="3">
        <v>3776626.14</v>
      </c>
      <c r="S338" s="3">
        <v>283246.96000000002</v>
      </c>
      <c r="T338" s="3">
        <v>3493379.18</v>
      </c>
      <c r="U338" t="str">
        <f t="shared" si="5"/>
        <v>Achive</v>
      </c>
    </row>
    <row r="339" spans="1:21" x14ac:dyDescent="0.3">
      <c r="A339" s="2">
        <v>800203</v>
      </c>
      <c r="B339" s="10">
        <v>45582</v>
      </c>
      <c r="C339" s="2" t="s">
        <v>51</v>
      </c>
      <c r="D339" s="2" t="s">
        <v>52</v>
      </c>
      <c r="E339" s="2" t="s">
        <v>139</v>
      </c>
      <c r="F339" s="2" t="s">
        <v>41</v>
      </c>
      <c r="G339" s="2" t="s">
        <v>90</v>
      </c>
      <c r="H339" s="2" t="s">
        <v>25</v>
      </c>
      <c r="I339" s="2" t="s">
        <v>67</v>
      </c>
      <c r="J339" s="2" t="s">
        <v>112</v>
      </c>
      <c r="K339" s="2" t="s">
        <v>58</v>
      </c>
      <c r="L339" s="2" t="s">
        <v>87</v>
      </c>
      <c r="M339" s="2">
        <v>1</v>
      </c>
      <c r="N339" s="3">
        <v>1250000</v>
      </c>
      <c r="O339" s="3">
        <v>1231204.81</v>
      </c>
      <c r="P339" s="4">
        <v>2</v>
      </c>
      <c r="Q339" s="2">
        <v>0</v>
      </c>
      <c r="R339" s="3">
        <v>1231204.81</v>
      </c>
      <c r="S339" s="3">
        <v>24624.1</v>
      </c>
      <c r="T339" s="3">
        <v>1206580.71</v>
      </c>
      <c r="U339" t="str">
        <f t="shared" si="5"/>
        <v>Not achive</v>
      </c>
    </row>
    <row r="340" spans="1:21" x14ac:dyDescent="0.3">
      <c r="A340" s="2">
        <v>800581</v>
      </c>
      <c r="B340" s="10">
        <v>45582</v>
      </c>
      <c r="C340" s="2" t="s">
        <v>20</v>
      </c>
      <c r="D340" s="2" t="s">
        <v>74</v>
      </c>
      <c r="E340" s="2" t="s">
        <v>113</v>
      </c>
      <c r="F340" s="2" t="s">
        <v>41</v>
      </c>
      <c r="G340" s="2" t="s">
        <v>116</v>
      </c>
      <c r="H340" s="2" t="s">
        <v>25</v>
      </c>
      <c r="I340" s="2" t="s">
        <v>26</v>
      </c>
      <c r="J340" s="2" t="s">
        <v>57</v>
      </c>
      <c r="K340" s="2" t="s">
        <v>99</v>
      </c>
      <c r="L340" s="2" t="s">
        <v>78</v>
      </c>
      <c r="M340" s="2">
        <v>3</v>
      </c>
      <c r="N340" s="3">
        <v>800000</v>
      </c>
      <c r="O340" s="3">
        <v>782565.77</v>
      </c>
      <c r="P340" s="4">
        <v>10</v>
      </c>
      <c r="Q340" s="2">
        <v>0</v>
      </c>
      <c r="R340" s="3">
        <v>2347697.31</v>
      </c>
      <c r="S340" s="3">
        <v>234769.73</v>
      </c>
      <c r="T340" s="3">
        <v>2112927.58</v>
      </c>
      <c r="U340" t="str">
        <f t="shared" si="5"/>
        <v>Achive</v>
      </c>
    </row>
    <row r="341" spans="1:21" x14ac:dyDescent="0.3">
      <c r="A341" s="2">
        <v>800217</v>
      </c>
      <c r="B341" s="10">
        <v>45583</v>
      </c>
      <c r="C341" s="2" t="s">
        <v>51</v>
      </c>
      <c r="D341" s="2" t="s">
        <v>110</v>
      </c>
      <c r="E341" s="2" t="s">
        <v>124</v>
      </c>
      <c r="F341" s="2" t="s">
        <v>23</v>
      </c>
      <c r="G341" s="2" t="s">
        <v>61</v>
      </c>
      <c r="H341" s="2" t="s">
        <v>25</v>
      </c>
      <c r="I341" s="2" t="s">
        <v>26</v>
      </c>
      <c r="J341" s="2" t="s">
        <v>127</v>
      </c>
      <c r="K341" s="2" t="s">
        <v>58</v>
      </c>
      <c r="L341" s="2" t="s">
        <v>78</v>
      </c>
      <c r="M341" s="2">
        <v>1</v>
      </c>
      <c r="N341" s="3">
        <v>650000</v>
      </c>
      <c r="O341" s="3">
        <v>647096.98</v>
      </c>
      <c r="P341" s="4">
        <v>2</v>
      </c>
      <c r="Q341" s="2">
        <v>0</v>
      </c>
      <c r="R341" s="3">
        <v>647096.98</v>
      </c>
      <c r="S341" s="3">
        <v>12941.94</v>
      </c>
      <c r="T341" s="3">
        <v>634155.04</v>
      </c>
      <c r="U341" t="str">
        <f t="shared" si="5"/>
        <v>Not achive</v>
      </c>
    </row>
    <row r="342" spans="1:21" x14ac:dyDescent="0.3">
      <c r="A342" s="2">
        <v>800582</v>
      </c>
      <c r="B342" s="10">
        <v>45583</v>
      </c>
      <c r="C342" s="2" t="s">
        <v>20</v>
      </c>
      <c r="D342" s="2" t="s">
        <v>21</v>
      </c>
      <c r="E342" s="2" t="s">
        <v>22</v>
      </c>
      <c r="F342" s="2" t="s">
        <v>32</v>
      </c>
      <c r="G342" s="2" t="s">
        <v>42</v>
      </c>
      <c r="H342" s="2" t="s">
        <v>25</v>
      </c>
      <c r="I342" s="2" t="s">
        <v>67</v>
      </c>
      <c r="J342" s="2" t="s">
        <v>108</v>
      </c>
      <c r="K342" s="2" t="s">
        <v>91</v>
      </c>
      <c r="L342" s="2" t="s">
        <v>37</v>
      </c>
      <c r="M342" s="2">
        <v>2</v>
      </c>
      <c r="N342" s="3">
        <v>1800000</v>
      </c>
      <c r="O342" s="3">
        <v>1796602.99</v>
      </c>
      <c r="P342" s="4">
        <v>0</v>
      </c>
      <c r="Q342" s="2">
        <v>0</v>
      </c>
      <c r="R342" s="3">
        <v>3593205.98</v>
      </c>
      <c r="S342" s="3">
        <v>0</v>
      </c>
      <c r="T342" s="3">
        <v>3593205.98</v>
      </c>
      <c r="U342" t="str">
        <f t="shared" si="5"/>
        <v>Achive</v>
      </c>
    </row>
    <row r="343" spans="1:21" x14ac:dyDescent="0.3">
      <c r="A343" s="2">
        <v>800390</v>
      </c>
      <c r="B343" s="10">
        <v>45584</v>
      </c>
      <c r="C343" s="2" t="s">
        <v>38</v>
      </c>
      <c r="D343" s="2" t="s">
        <v>63</v>
      </c>
      <c r="E343" s="2" t="s">
        <v>114</v>
      </c>
      <c r="F343" s="2" t="s">
        <v>32</v>
      </c>
      <c r="G343" s="2" t="s">
        <v>100</v>
      </c>
      <c r="H343" s="2" t="s">
        <v>25</v>
      </c>
      <c r="I343" s="2" t="s">
        <v>26</v>
      </c>
      <c r="J343" s="2" t="s">
        <v>127</v>
      </c>
      <c r="K343" s="2" t="s">
        <v>99</v>
      </c>
      <c r="L343" s="2" t="s">
        <v>87</v>
      </c>
      <c r="M343" s="2">
        <v>2</v>
      </c>
      <c r="N343" s="3">
        <v>650000</v>
      </c>
      <c r="O343" s="3">
        <v>661038.77</v>
      </c>
      <c r="P343" s="4">
        <v>0</v>
      </c>
      <c r="Q343" s="2">
        <v>0</v>
      </c>
      <c r="R343" s="3">
        <v>1322077.54</v>
      </c>
      <c r="S343" s="3">
        <v>0</v>
      </c>
      <c r="T343" s="3">
        <v>1322077.54</v>
      </c>
      <c r="U343" t="str">
        <f t="shared" si="5"/>
        <v>Not achive</v>
      </c>
    </row>
    <row r="344" spans="1:21" x14ac:dyDescent="0.3">
      <c r="A344" s="2">
        <v>800443</v>
      </c>
      <c r="B344" s="10">
        <v>45584</v>
      </c>
      <c r="C344" s="2" t="s">
        <v>51</v>
      </c>
      <c r="D344" s="2" t="s">
        <v>52</v>
      </c>
      <c r="E344" s="2" t="s">
        <v>53</v>
      </c>
      <c r="F344" s="2" t="s">
        <v>32</v>
      </c>
      <c r="G344" s="2" t="s">
        <v>66</v>
      </c>
      <c r="H344" s="2" t="s">
        <v>25</v>
      </c>
      <c r="I344" s="2" t="s">
        <v>67</v>
      </c>
      <c r="J344" s="2" t="s">
        <v>108</v>
      </c>
      <c r="K344" s="2" t="s">
        <v>91</v>
      </c>
      <c r="L344" s="2" t="s">
        <v>29</v>
      </c>
      <c r="M344" s="2">
        <v>1</v>
      </c>
      <c r="N344" s="3">
        <v>1800000</v>
      </c>
      <c r="O344" s="3">
        <v>1768265.29</v>
      </c>
      <c r="P344" s="4">
        <v>5</v>
      </c>
      <c r="Q344" s="2">
        <v>0</v>
      </c>
      <c r="R344" s="3">
        <v>1768265.29</v>
      </c>
      <c r="S344" s="3">
        <v>88413.26</v>
      </c>
      <c r="T344" s="3">
        <v>1679852.03</v>
      </c>
      <c r="U344" t="str">
        <f t="shared" si="5"/>
        <v>Not achive</v>
      </c>
    </row>
    <row r="345" spans="1:21" x14ac:dyDescent="0.3">
      <c r="A345" s="2">
        <v>800534</v>
      </c>
      <c r="B345" s="10">
        <v>45584</v>
      </c>
      <c r="C345" s="2" t="s">
        <v>69</v>
      </c>
      <c r="D345" s="2" t="s">
        <v>83</v>
      </c>
      <c r="E345" s="2" t="s">
        <v>97</v>
      </c>
      <c r="F345" s="2" t="s">
        <v>32</v>
      </c>
      <c r="G345" s="2" t="s">
        <v>116</v>
      </c>
      <c r="H345" s="2" t="s">
        <v>25</v>
      </c>
      <c r="I345" s="2" t="s">
        <v>67</v>
      </c>
      <c r="J345" s="2" t="s">
        <v>85</v>
      </c>
      <c r="K345" s="2" t="s">
        <v>89</v>
      </c>
      <c r="L345" s="2" t="s">
        <v>29</v>
      </c>
      <c r="M345" s="2">
        <v>2</v>
      </c>
      <c r="N345" s="3">
        <v>1500000</v>
      </c>
      <c r="O345" s="3">
        <v>1510010.72</v>
      </c>
      <c r="P345" s="4">
        <v>0</v>
      </c>
      <c r="Q345" s="2">
        <v>0</v>
      </c>
      <c r="R345" s="3">
        <v>3020021.44</v>
      </c>
      <c r="S345" s="3">
        <v>0</v>
      </c>
      <c r="T345" s="3">
        <v>3020021.44</v>
      </c>
      <c r="U345" t="str">
        <f t="shared" si="5"/>
        <v>Achive</v>
      </c>
    </row>
    <row r="346" spans="1:21" x14ac:dyDescent="0.3">
      <c r="A346" s="2">
        <v>800628</v>
      </c>
      <c r="B346" s="10">
        <v>45584</v>
      </c>
      <c r="C346" s="2" t="s">
        <v>38</v>
      </c>
      <c r="D346" s="2" t="s">
        <v>118</v>
      </c>
      <c r="E346" s="2" t="s">
        <v>125</v>
      </c>
      <c r="F346" s="2" t="s">
        <v>32</v>
      </c>
      <c r="G346" s="2" t="s">
        <v>61</v>
      </c>
      <c r="H346" s="2" t="s">
        <v>25</v>
      </c>
      <c r="I346" s="2" t="s">
        <v>34</v>
      </c>
      <c r="J346" s="2" t="s">
        <v>35</v>
      </c>
      <c r="K346" s="2" t="s">
        <v>45</v>
      </c>
      <c r="L346" s="2" t="s">
        <v>50</v>
      </c>
      <c r="M346" s="2">
        <v>6</v>
      </c>
      <c r="N346" s="3">
        <v>550000</v>
      </c>
      <c r="O346" s="3">
        <v>551693.4</v>
      </c>
      <c r="P346" s="4">
        <v>0</v>
      </c>
      <c r="Q346" s="2">
        <v>0</v>
      </c>
      <c r="R346" s="3">
        <v>3310160.4</v>
      </c>
      <c r="S346" s="3">
        <v>0</v>
      </c>
      <c r="T346" s="3">
        <v>3310160.4</v>
      </c>
      <c r="U346" t="str">
        <f t="shared" si="5"/>
        <v>Achive</v>
      </c>
    </row>
    <row r="347" spans="1:21" x14ac:dyDescent="0.3">
      <c r="A347" s="2">
        <v>800024</v>
      </c>
      <c r="B347" s="10">
        <v>45585</v>
      </c>
      <c r="C347" s="2" t="s">
        <v>51</v>
      </c>
      <c r="D347" s="2" t="s">
        <v>110</v>
      </c>
      <c r="E347" s="2" t="s">
        <v>111</v>
      </c>
      <c r="F347" s="2" t="s">
        <v>32</v>
      </c>
      <c r="G347" s="2" t="s">
        <v>54</v>
      </c>
      <c r="H347" s="2" t="s">
        <v>25</v>
      </c>
      <c r="I347" s="2" t="s">
        <v>67</v>
      </c>
      <c r="J347" s="2" t="s">
        <v>108</v>
      </c>
      <c r="K347" s="2" t="s">
        <v>62</v>
      </c>
      <c r="L347" s="2" t="s">
        <v>78</v>
      </c>
      <c r="M347" s="2">
        <v>1</v>
      </c>
      <c r="N347" s="3">
        <v>1800000</v>
      </c>
      <c r="O347" s="3">
        <v>1806275.34</v>
      </c>
      <c r="P347" s="4">
        <v>7.5</v>
      </c>
      <c r="Q347" s="2">
        <v>0</v>
      </c>
      <c r="R347" s="3">
        <v>1806275.34</v>
      </c>
      <c r="S347" s="3">
        <v>135470.65</v>
      </c>
      <c r="T347" s="3">
        <v>1670804.69</v>
      </c>
      <c r="U347" t="str">
        <f t="shared" si="5"/>
        <v>Not achive</v>
      </c>
    </row>
    <row r="348" spans="1:21" x14ac:dyDescent="0.3">
      <c r="A348" s="2">
        <v>800166</v>
      </c>
      <c r="B348" s="10">
        <v>45585</v>
      </c>
      <c r="C348" s="2" t="s">
        <v>69</v>
      </c>
      <c r="D348" s="2" t="s">
        <v>83</v>
      </c>
      <c r="E348" s="2" t="s">
        <v>84</v>
      </c>
      <c r="F348" s="2" t="s">
        <v>65</v>
      </c>
      <c r="G348" s="2" t="s">
        <v>66</v>
      </c>
      <c r="H348" s="2" t="s">
        <v>25</v>
      </c>
      <c r="I348" s="2" t="s">
        <v>26</v>
      </c>
      <c r="J348" s="2" t="s">
        <v>105</v>
      </c>
      <c r="K348" s="2" t="s">
        <v>82</v>
      </c>
      <c r="L348" s="2" t="s">
        <v>78</v>
      </c>
      <c r="M348" s="2">
        <v>2</v>
      </c>
      <c r="N348" s="3">
        <v>950000</v>
      </c>
      <c r="O348" s="3">
        <v>927289.02</v>
      </c>
      <c r="P348" s="4">
        <v>10</v>
      </c>
      <c r="Q348" s="2">
        <v>0</v>
      </c>
      <c r="R348" s="3">
        <v>1854578.04</v>
      </c>
      <c r="S348" s="3">
        <v>185457.8</v>
      </c>
      <c r="T348" s="3">
        <v>1669120.24</v>
      </c>
      <c r="U348" t="str">
        <f t="shared" si="5"/>
        <v>Not achive</v>
      </c>
    </row>
    <row r="349" spans="1:21" x14ac:dyDescent="0.3">
      <c r="A349" s="2">
        <v>800246</v>
      </c>
      <c r="B349" s="10">
        <v>45586</v>
      </c>
      <c r="C349" s="2" t="s">
        <v>69</v>
      </c>
      <c r="D349" s="2" t="s">
        <v>70</v>
      </c>
      <c r="E349" s="2" t="s">
        <v>71</v>
      </c>
      <c r="F349" s="2" t="s">
        <v>41</v>
      </c>
      <c r="G349" s="2" t="s">
        <v>54</v>
      </c>
      <c r="H349" s="2" t="s">
        <v>25</v>
      </c>
      <c r="I349" s="2" t="s">
        <v>26</v>
      </c>
      <c r="J349" s="2" t="s">
        <v>27</v>
      </c>
      <c r="K349" s="2" t="s">
        <v>58</v>
      </c>
      <c r="L349" s="2" t="s">
        <v>78</v>
      </c>
      <c r="M349" s="2">
        <v>1</v>
      </c>
      <c r="N349" s="3">
        <v>750000</v>
      </c>
      <c r="O349" s="3">
        <v>728993.51</v>
      </c>
      <c r="P349" s="4">
        <v>0</v>
      </c>
      <c r="Q349" s="2">
        <v>0</v>
      </c>
      <c r="R349" s="3">
        <v>728993.51</v>
      </c>
      <c r="S349" s="3">
        <v>0</v>
      </c>
      <c r="T349" s="3">
        <v>728993.51</v>
      </c>
      <c r="U349" t="str">
        <f t="shared" si="5"/>
        <v>Not achive</v>
      </c>
    </row>
    <row r="350" spans="1:21" x14ac:dyDescent="0.3">
      <c r="A350" s="2">
        <v>800284</v>
      </c>
      <c r="B350" s="10">
        <v>45586</v>
      </c>
      <c r="C350" s="2" t="s">
        <v>20</v>
      </c>
      <c r="D350" s="2" t="s">
        <v>21</v>
      </c>
      <c r="E350" s="2" t="s">
        <v>98</v>
      </c>
      <c r="F350" s="2" t="s">
        <v>41</v>
      </c>
      <c r="G350" s="2" t="s">
        <v>90</v>
      </c>
      <c r="H350" s="2" t="s">
        <v>25</v>
      </c>
      <c r="I350" s="2" t="s">
        <v>26</v>
      </c>
      <c r="J350" s="2" t="s">
        <v>57</v>
      </c>
      <c r="K350" s="2" t="s">
        <v>99</v>
      </c>
      <c r="L350" s="2" t="s">
        <v>78</v>
      </c>
      <c r="M350" s="2">
        <v>1</v>
      </c>
      <c r="N350" s="3">
        <v>800000</v>
      </c>
      <c r="O350" s="3">
        <v>794942.83</v>
      </c>
      <c r="P350" s="4">
        <v>0</v>
      </c>
      <c r="Q350" s="2">
        <v>0</v>
      </c>
      <c r="R350" s="3">
        <v>794942.83</v>
      </c>
      <c r="S350" s="3">
        <v>0</v>
      </c>
      <c r="T350" s="3">
        <v>794942.83</v>
      </c>
      <c r="U350" t="str">
        <f t="shared" si="5"/>
        <v>Not achive</v>
      </c>
    </row>
    <row r="351" spans="1:21" x14ac:dyDescent="0.3">
      <c r="A351" s="2">
        <v>800020</v>
      </c>
      <c r="B351" s="10">
        <v>45588</v>
      </c>
      <c r="C351" s="2" t="s">
        <v>20</v>
      </c>
      <c r="D351" s="2" t="s">
        <v>30</v>
      </c>
      <c r="E351" s="2" t="s">
        <v>31</v>
      </c>
      <c r="F351" s="2" t="s">
        <v>41</v>
      </c>
      <c r="G351" s="2" t="s">
        <v>42</v>
      </c>
      <c r="H351" s="2" t="s">
        <v>25</v>
      </c>
      <c r="I351" s="2" t="s">
        <v>67</v>
      </c>
      <c r="J351" s="2" t="s">
        <v>108</v>
      </c>
      <c r="K351" s="2" t="s">
        <v>89</v>
      </c>
      <c r="L351" s="2" t="s">
        <v>50</v>
      </c>
      <c r="M351" s="2">
        <v>1</v>
      </c>
      <c r="N351" s="3">
        <v>1800000</v>
      </c>
      <c r="O351" s="3">
        <v>1760968</v>
      </c>
      <c r="P351" s="4">
        <v>12.5</v>
      </c>
      <c r="Q351" s="2">
        <v>0</v>
      </c>
      <c r="R351" s="3">
        <v>1760968</v>
      </c>
      <c r="S351" s="3">
        <v>220121</v>
      </c>
      <c r="T351" s="3">
        <v>1540847</v>
      </c>
      <c r="U351" t="str">
        <f t="shared" si="5"/>
        <v>Not achive</v>
      </c>
    </row>
    <row r="352" spans="1:21" x14ac:dyDescent="0.3">
      <c r="A352" s="2">
        <v>800070</v>
      </c>
      <c r="B352" s="10">
        <v>45588</v>
      </c>
      <c r="C352" s="2" t="s">
        <v>51</v>
      </c>
      <c r="D352" s="2" t="s">
        <v>110</v>
      </c>
      <c r="E352" s="2" t="s">
        <v>124</v>
      </c>
      <c r="F352" s="2" t="s">
        <v>23</v>
      </c>
      <c r="G352" s="2" t="s">
        <v>24</v>
      </c>
      <c r="H352" s="2" t="s">
        <v>25</v>
      </c>
      <c r="I352" s="2" t="s">
        <v>26</v>
      </c>
      <c r="J352" s="2" t="s">
        <v>105</v>
      </c>
      <c r="K352" s="2" t="s">
        <v>82</v>
      </c>
      <c r="L352" s="2" t="s">
        <v>50</v>
      </c>
      <c r="M352" s="2">
        <v>1</v>
      </c>
      <c r="N352" s="3">
        <v>950000</v>
      </c>
      <c r="O352" s="3">
        <v>937165.67</v>
      </c>
      <c r="P352" s="4">
        <v>12.5</v>
      </c>
      <c r="Q352" s="2">
        <v>0</v>
      </c>
      <c r="R352" s="3">
        <v>937165.67</v>
      </c>
      <c r="S352" s="3">
        <v>117145.71</v>
      </c>
      <c r="T352" s="3">
        <v>820019.96</v>
      </c>
      <c r="U352" t="str">
        <f t="shared" si="5"/>
        <v>Not achive</v>
      </c>
    </row>
    <row r="353" spans="1:21" x14ac:dyDescent="0.3">
      <c r="A353" s="2">
        <v>800106</v>
      </c>
      <c r="B353" s="10">
        <v>45588</v>
      </c>
      <c r="C353" s="2" t="s">
        <v>38</v>
      </c>
      <c r="D353" s="2" t="s">
        <v>39</v>
      </c>
      <c r="E353" s="2" t="s">
        <v>126</v>
      </c>
      <c r="F353" s="2" t="s">
        <v>65</v>
      </c>
      <c r="G353" s="2" t="s">
        <v>33</v>
      </c>
      <c r="H353" s="2" t="s">
        <v>25</v>
      </c>
      <c r="I353" s="2" t="s">
        <v>34</v>
      </c>
      <c r="J353" s="2" t="s">
        <v>35</v>
      </c>
      <c r="K353" s="2" t="s">
        <v>36</v>
      </c>
      <c r="L353" s="2" t="s">
        <v>123</v>
      </c>
      <c r="M353" s="2">
        <v>3</v>
      </c>
      <c r="N353" s="3">
        <v>550000</v>
      </c>
      <c r="O353" s="3">
        <v>533667.91</v>
      </c>
      <c r="P353" s="4">
        <v>0</v>
      </c>
      <c r="Q353" s="2">
        <v>0</v>
      </c>
      <c r="R353" s="3">
        <v>1601003.73</v>
      </c>
      <c r="S353" s="3">
        <v>0</v>
      </c>
      <c r="T353" s="3">
        <v>1601003.73</v>
      </c>
      <c r="U353" t="str">
        <f t="shared" si="5"/>
        <v>Not achive</v>
      </c>
    </row>
    <row r="354" spans="1:21" x14ac:dyDescent="0.3">
      <c r="A354" s="2">
        <v>800113</v>
      </c>
      <c r="B354" s="10">
        <v>45588</v>
      </c>
      <c r="C354" s="2" t="s">
        <v>51</v>
      </c>
      <c r="D354" s="2" t="s">
        <v>55</v>
      </c>
      <c r="E354" s="2" t="s">
        <v>60</v>
      </c>
      <c r="F354" s="2" t="s">
        <v>32</v>
      </c>
      <c r="G354" s="2" t="s">
        <v>66</v>
      </c>
      <c r="H354" s="2" t="s">
        <v>25</v>
      </c>
      <c r="I354" s="2" t="s">
        <v>43</v>
      </c>
      <c r="J354" s="2" t="s">
        <v>44</v>
      </c>
      <c r="K354" s="2" t="s">
        <v>129</v>
      </c>
      <c r="L354" s="2" t="s">
        <v>50</v>
      </c>
      <c r="M354" s="2">
        <v>4</v>
      </c>
      <c r="N354" s="3">
        <v>800000</v>
      </c>
      <c r="O354" s="3">
        <v>809779.37</v>
      </c>
      <c r="P354" s="4">
        <v>2</v>
      </c>
      <c r="Q354" s="2">
        <v>0</v>
      </c>
      <c r="R354" s="3">
        <v>3239117.48</v>
      </c>
      <c r="S354" s="3">
        <v>64782.35</v>
      </c>
      <c r="T354" s="3">
        <v>3174335.13</v>
      </c>
      <c r="U354" t="str">
        <f t="shared" si="5"/>
        <v>Achive</v>
      </c>
    </row>
    <row r="355" spans="1:21" x14ac:dyDescent="0.3">
      <c r="A355" s="2">
        <v>800483</v>
      </c>
      <c r="B355" s="10">
        <v>45588</v>
      </c>
      <c r="C355" s="2" t="s">
        <v>69</v>
      </c>
      <c r="D355" s="2" t="s">
        <v>83</v>
      </c>
      <c r="E355" s="2" t="s">
        <v>97</v>
      </c>
      <c r="F355" s="2" t="s">
        <v>23</v>
      </c>
      <c r="G355" s="2" t="s">
        <v>33</v>
      </c>
      <c r="H355" s="2" t="s">
        <v>25</v>
      </c>
      <c r="I355" s="2" t="s">
        <v>34</v>
      </c>
      <c r="J355" s="2" t="s">
        <v>35</v>
      </c>
      <c r="K355" s="2" t="s">
        <v>45</v>
      </c>
      <c r="L355" s="2" t="s">
        <v>123</v>
      </c>
      <c r="M355" s="2">
        <v>5</v>
      </c>
      <c r="N355" s="3">
        <v>550000</v>
      </c>
      <c r="O355" s="3">
        <v>551359.91</v>
      </c>
      <c r="P355" s="4">
        <v>5</v>
      </c>
      <c r="Q355" s="2">
        <v>0</v>
      </c>
      <c r="R355" s="3">
        <v>2756799.55</v>
      </c>
      <c r="S355" s="3">
        <v>137839.98000000001</v>
      </c>
      <c r="T355" s="3">
        <v>2618959.5699999998</v>
      </c>
      <c r="U355" t="str">
        <f t="shared" si="5"/>
        <v>Achive</v>
      </c>
    </row>
    <row r="356" spans="1:21" x14ac:dyDescent="0.3">
      <c r="A356" s="2">
        <v>800550</v>
      </c>
      <c r="B356" s="10">
        <v>45588</v>
      </c>
      <c r="C356" s="2" t="s">
        <v>69</v>
      </c>
      <c r="D356" s="2" t="s">
        <v>83</v>
      </c>
      <c r="E356" s="2" t="s">
        <v>84</v>
      </c>
      <c r="F356" s="2" t="s">
        <v>65</v>
      </c>
      <c r="G356" s="2" t="s">
        <v>33</v>
      </c>
      <c r="H356" s="2" t="s">
        <v>25</v>
      </c>
      <c r="I356" s="2" t="s">
        <v>26</v>
      </c>
      <c r="J356" s="2" t="s">
        <v>27</v>
      </c>
      <c r="K356" s="2" t="s">
        <v>99</v>
      </c>
      <c r="L356" s="2" t="s">
        <v>37</v>
      </c>
      <c r="M356" s="2">
        <v>1</v>
      </c>
      <c r="N356" s="3">
        <v>750000</v>
      </c>
      <c r="O356" s="3">
        <v>732728.37</v>
      </c>
      <c r="P356" s="4">
        <v>0</v>
      </c>
      <c r="Q356" s="2">
        <v>0</v>
      </c>
      <c r="R356" s="3">
        <v>732728.37</v>
      </c>
      <c r="S356" s="3">
        <v>0</v>
      </c>
      <c r="T356" s="3">
        <v>732728.37</v>
      </c>
      <c r="U356" t="str">
        <f t="shared" si="5"/>
        <v>Not achive</v>
      </c>
    </row>
    <row r="357" spans="1:21" x14ac:dyDescent="0.3">
      <c r="A357" s="2">
        <v>800622</v>
      </c>
      <c r="B357" s="10">
        <v>45589</v>
      </c>
      <c r="C357" s="2" t="s">
        <v>51</v>
      </c>
      <c r="D357" s="2" t="s">
        <v>110</v>
      </c>
      <c r="E357" s="2" t="s">
        <v>134</v>
      </c>
      <c r="F357" s="2" t="s">
        <v>23</v>
      </c>
      <c r="G357" s="2" t="s">
        <v>47</v>
      </c>
      <c r="H357" s="2" t="s">
        <v>25</v>
      </c>
      <c r="I357" s="2" t="s">
        <v>26</v>
      </c>
      <c r="J357" s="2" t="s">
        <v>57</v>
      </c>
      <c r="K357" s="2" t="s">
        <v>58</v>
      </c>
      <c r="L357" s="2" t="s">
        <v>87</v>
      </c>
      <c r="M357" s="2">
        <v>1</v>
      </c>
      <c r="N357" s="3">
        <v>800000</v>
      </c>
      <c r="O357" s="3">
        <v>776820.48</v>
      </c>
      <c r="P357" s="4">
        <v>2</v>
      </c>
      <c r="Q357" s="2">
        <v>0</v>
      </c>
      <c r="R357" s="3">
        <v>776820.48</v>
      </c>
      <c r="S357" s="3">
        <v>15536.41</v>
      </c>
      <c r="T357" s="3">
        <v>761284.07</v>
      </c>
      <c r="U357" t="str">
        <f t="shared" si="5"/>
        <v>Not achive</v>
      </c>
    </row>
    <row r="358" spans="1:21" x14ac:dyDescent="0.3">
      <c r="A358" s="2">
        <v>800112</v>
      </c>
      <c r="B358" s="10">
        <v>45590</v>
      </c>
      <c r="C358" s="2" t="s">
        <v>20</v>
      </c>
      <c r="D358" s="2" t="s">
        <v>21</v>
      </c>
      <c r="E358" s="2" t="s">
        <v>22</v>
      </c>
      <c r="F358" s="2" t="s">
        <v>41</v>
      </c>
      <c r="G358" s="2" t="s">
        <v>24</v>
      </c>
      <c r="H358" s="2" t="s">
        <v>25</v>
      </c>
      <c r="I358" s="2" t="s">
        <v>67</v>
      </c>
      <c r="J358" s="2" t="s">
        <v>112</v>
      </c>
      <c r="K358" s="2" t="s">
        <v>99</v>
      </c>
      <c r="L358" s="2" t="s">
        <v>92</v>
      </c>
      <c r="M358" s="2">
        <v>2</v>
      </c>
      <c r="N358" s="3">
        <v>1250000</v>
      </c>
      <c r="O358" s="3">
        <v>1256843.69</v>
      </c>
      <c r="P358" s="4">
        <v>10</v>
      </c>
      <c r="Q358" s="2">
        <v>0</v>
      </c>
      <c r="R358" s="3">
        <v>2513687.38</v>
      </c>
      <c r="S358" s="3">
        <v>251368.74</v>
      </c>
      <c r="T358" s="3">
        <v>2262318.64</v>
      </c>
      <c r="U358" t="str">
        <f t="shared" si="5"/>
        <v>Achive</v>
      </c>
    </row>
    <row r="359" spans="1:21" x14ac:dyDescent="0.3">
      <c r="A359" s="2">
        <v>800349</v>
      </c>
      <c r="B359" s="10">
        <v>45591</v>
      </c>
      <c r="C359" s="2" t="s">
        <v>51</v>
      </c>
      <c r="D359" s="2" t="s">
        <v>106</v>
      </c>
      <c r="E359" s="2" t="s">
        <v>128</v>
      </c>
      <c r="F359" s="2" t="s">
        <v>41</v>
      </c>
      <c r="G359" s="2" t="s">
        <v>100</v>
      </c>
      <c r="H359" s="2" t="s">
        <v>25</v>
      </c>
      <c r="I359" s="2" t="s">
        <v>34</v>
      </c>
      <c r="J359" s="2" t="s">
        <v>35</v>
      </c>
      <c r="K359" s="2" t="s">
        <v>36</v>
      </c>
      <c r="L359" s="2" t="s">
        <v>59</v>
      </c>
      <c r="M359" s="2">
        <v>1</v>
      </c>
      <c r="N359" s="3">
        <v>550000</v>
      </c>
      <c r="O359" s="3">
        <v>549311.46</v>
      </c>
      <c r="P359" s="4">
        <v>2</v>
      </c>
      <c r="Q359" s="2">
        <v>0</v>
      </c>
      <c r="R359" s="3">
        <v>549311.46</v>
      </c>
      <c r="S359" s="3">
        <v>10986.23</v>
      </c>
      <c r="T359" s="3">
        <v>538325.23</v>
      </c>
      <c r="U359" t="str">
        <f t="shared" si="5"/>
        <v>Not achive</v>
      </c>
    </row>
    <row r="360" spans="1:21" x14ac:dyDescent="0.3">
      <c r="A360" s="2">
        <v>800595</v>
      </c>
      <c r="B360" s="10">
        <v>45591</v>
      </c>
      <c r="C360" s="2" t="s">
        <v>69</v>
      </c>
      <c r="D360" s="2" t="s">
        <v>83</v>
      </c>
      <c r="E360" s="2" t="s">
        <v>97</v>
      </c>
      <c r="F360" s="2" t="s">
        <v>23</v>
      </c>
      <c r="G360" s="2" t="s">
        <v>116</v>
      </c>
      <c r="H360" s="2" t="s">
        <v>25</v>
      </c>
      <c r="I360" s="2" t="s">
        <v>26</v>
      </c>
      <c r="J360" s="2" t="s">
        <v>127</v>
      </c>
      <c r="K360" s="2" t="s">
        <v>58</v>
      </c>
      <c r="L360" s="2" t="s">
        <v>123</v>
      </c>
      <c r="M360" s="2">
        <v>3</v>
      </c>
      <c r="N360" s="3">
        <v>650000</v>
      </c>
      <c r="O360" s="3">
        <v>640184.31999999995</v>
      </c>
      <c r="P360" s="4">
        <v>0</v>
      </c>
      <c r="Q360" s="2">
        <v>0</v>
      </c>
      <c r="R360" s="3">
        <v>1920552.96</v>
      </c>
      <c r="S360" s="3">
        <v>0</v>
      </c>
      <c r="T360" s="3">
        <v>1920552.96</v>
      </c>
      <c r="U360" t="str">
        <f t="shared" si="5"/>
        <v>Not achive</v>
      </c>
    </row>
    <row r="361" spans="1:21" x14ac:dyDescent="0.3">
      <c r="A361" s="2">
        <v>800064</v>
      </c>
      <c r="B361" s="10">
        <v>45592</v>
      </c>
      <c r="C361" s="2" t="s">
        <v>38</v>
      </c>
      <c r="D361" s="2" t="s">
        <v>39</v>
      </c>
      <c r="E361" s="2" t="s">
        <v>126</v>
      </c>
      <c r="F361" s="2" t="s">
        <v>46</v>
      </c>
      <c r="G361" s="2" t="s">
        <v>42</v>
      </c>
      <c r="H361" s="2" t="s">
        <v>25</v>
      </c>
      <c r="I361" s="2" t="s">
        <v>26</v>
      </c>
      <c r="J361" s="2" t="s">
        <v>76</v>
      </c>
      <c r="K361" s="2" t="s">
        <v>117</v>
      </c>
      <c r="L361" s="2" t="s">
        <v>50</v>
      </c>
      <c r="M361" s="2">
        <v>1</v>
      </c>
      <c r="N361" s="3">
        <v>700000</v>
      </c>
      <c r="O361" s="3">
        <v>687395.28</v>
      </c>
      <c r="P361" s="4">
        <v>0</v>
      </c>
      <c r="Q361" s="2">
        <v>0</v>
      </c>
      <c r="R361" s="3">
        <v>687395.28</v>
      </c>
      <c r="S361" s="3">
        <v>0</v>
      </c>
      <c r="T361" s="3">
        <v>687395.28</v>
      </c>
      <c r="U361" t="str">
        <f t="shared" si="5"/>
        <v>Not achive</v>
      </c>
    </row>
    <row r="362" spans="1:21" x14ac:dyDescent="0.3">
      <c r="A362" s="2">
        <v>800317</v>
      </c>
      <c r="B362" s="10">
        <v>45592</v>
      </c>
      <c r="C362" s="2" t="s">
        <v>51</v>
      </c>
      <c r="D362" s="2" t="s">
        <v>55</v>
      </c>
      <c r="E362" s="2" t="s">
        <v>56</v>
      </c>
      <c r="F362" s="2" t="s">
        <v>41</v>
      </c>
      <c r="G362" s="2" t="s">
        <v>66</v>
      </c>
      <c r="H362" s="2" t="s">
        <v>25</v>
      </c>
      <c r="I362" s="2" t="s">
        <v>26</v>
      </c>
      <c r="J362" s="2" t="s">
        <v>76</v>
      </c>
      <c r="K362" s="2" t="s">
        <v>115</v>
      </c>
      <c r="L362" s="2" t="s">
        <v>122</v>
      </c>
      <c r="M362" s="2">
        <v>2</v>
      </c>
      <c r="N362" s="3">
        <v>700000</v>
      </c>
      <c r="O362" s="3">
        <v>708102.46</v>
      </c>
      <c r="P362" s="4">
        <v>2</v>
      </c>
      <c r="Q362" s="2">
        <v>0</v>
      </c>
      <c r="R362" s="3">
        <v>1416204.92</v>
      </c>
      <c r="S362" s="3">
        <v>28324.1</v>
      </c>
      <c r="T362" s="3">
        <v>1387880.82</v>
      </c>
      <c r="U362" t="str">
        <f t="shared" si="5"/>
        <v>Not achive</v>
      </c>
    </row>
    <row r="363" spans="1:21" x14ac:dyDescent="0.3">
      <c r="A363" s="2">
        <v>800031</v>
      </c>
      <c r="B363" s="10">
        <v>45593</v>
      </c>
      <c r="C363" s="2" t="s">
        <v>20</v>
      </c>
      <c r="D363" s="2" t="s">
        <v>30</v>
      </c>
      <c r="E363" s="2" t="s">
        <v>31</v>
      </c>
      <c r="F363" s="2" t="s">
        <v>46</v>
      </c>
      <c r="G363" s="2" t="s">
        <v>100</v>
      </c>
      <c r="H363" s="2" t="s">
        <v>25</v>
      </c>
      <c r="I363" s="2" t="s">
        <v>34</v>
      </c>
      <c r="J363" s="2" t="s">
        <v>35</v>
      </c>
      <c r="K363" s="2" t="s">
        <v>45</v>
      </c>
      <c r="L363" s="2" t="s">
        <v>87</v>
      </c>
      <c r="M363" s="2">
        <v>1</v>
      </c>
      <c r="N363" s="3">
        <v>550000</v>
      </c>
      <c r="O363" s="3">
        <v>538432.42000000004</v>
      </c>
      <c r="P363" s="4">
        <v>7.5</v>
      </c>
      <c r="Q363" s="2">
        <v>0</v>
      </c>
      <c r="R363" s="3">
        <v>538432.42000000004</v>
      </c>
      <c r="S363" s="3">
        <v>40382.43</v>
      </c>
      <c r="T363" s="3">
        <v>498049.99</v>
      </c>
      <c r="U363" t="str">
        <f t="shared" si="5"/>
        <v>Not achive</v>
      </c>
    </row>
    <row r="364" spans="1:21" x14ac:dyDescent="0.3">
      <c r="A364" s="2">
        <v>800103</v>
      </c>
      <c r="B364" s="10">
        <v>45593</v>
      </c>
      <c r="C364" s="2" t="s">
        <v>20</v>
      </c>
      <c r="D364" s="2" t="s">
        <v>21</v>
      </c>
      <c r="E364" s="2" t="s">
        <v>98</v>
      </c>
      <c r="F364" s="2" t="s">
        <v>41</v>
      </c>
      <c r="G364" s="2" t="s">
        <v>61</v>
      </c>
      <c r="H364" s="2" t="s">
        <v>25</v>
      </c>
      <c r="I364" s="2" t="s">
        <v>67</v>
      </c>
      <c r="J364" s="2" t="s">
        <v>85</v>
      </c>
      <c r="K364" s="2" t="s">
        <v>89</v>
      </c>
      <c r="L364" s="2" t="s">
        <v>123</v>
      </c>
      <c r="M364" s="2">
        <v>1</v>
      </c>
      <c r="N364" s="3">
        <v>1500000</v>
      </c>
      <c r="O364" s="3">
        <v>1496727.81</v>
      </c>
      <c r="P364" s="4">
        <v>7.5</v>
      </c>
      <c r="Q364" s="2">
        <v>0</v>
      </c>
      <c r="R364" s="3">
        <v>1496727.81</v>
      </c>
      <c r="S364" s="3">
        <v>112254.59</v>
      </c>
      <c r="T364" s="3">
        <v>1384473.22</v>
      </c>
      <c r="U364" t="str">
        <f t="shared" si="5"/>
        <v>Not achive</v>
      </c>
    </row>
    <row r="365" spans="1:21" x14ac:dyDescent="0.3">
      <c r="A365" s="2">
        <v>800396</v>
      </c>
      <c r="B365" s="10">
        <v>45593</v>
      </c>
      <c r="C365" s="2" t="s">
        <v>20</v>
      </c>
      <c r="D365" s="2" t="s">
        <v>30</v>
      </c>
      <c r="E365" s="2" t="s">
        <v>31</v>
      </c>
      <c r="F365" s="2" t="s">
        <v>23</v>
      </c>
      <c r="G365" s="2" t="s">
        <v>33</v>
      </c>
      <c r="H365" s="2" t="s">
        <v>25</v>
      </c>
      <c r="I365" s="2" t="s">
        <v>26</v>
      </c>
      <c r="J365" s="2" t="s">
        <v>105</v>
      </c>
      <c r="K365" s="2" t="s">
        <v>89</v>
      </c>
      <c r="L365" s="2" t="s">
        <v>123</v>
      </c>
      <c r="M365" s="2">
        <v>2</v>
      </c>
      <c r="N365" s="3">
        <v>950000</v>
      </c>
      <c r="O365" s="3">
        <v>948116.63</v>
      </c>
      <c r="P365" s="4">
        <v>5</v>
      </c>
      <c r="Q365" s="2">
        <v>0</v>
      </c>
      <c r="R365" s="3">
        <v>1896233.26</v>
      </c>
      <c r="S365" s="3">
        <v>94811.66</v>
      </c>
      <c r="T365" s="3">
        <v>1801421.6</v>
      </c>
      <c r="U365" t="str">
        <f t="shared" si="5"/>
        <v>Not achive</v>
      </c>
    </row>
    <row r="366" spans="1:21" x14ac:dyDescent="0.3">
      <c r="A366" s="2">
        <v>800208</v>
      </c>
      <c r="B366" s="10">
        <v>45594</v>
      </c>
      <c r="C366" s="2" t="s">
        <v>20</v>
      </c>
      <c r="D366" s="2" t="s">
        <v>21</v>
      </c>
      <c r="E366" s="2" t="s">
        <v>98</v>
      </c>
      <c r="F366" s="2" t="s">
        <v>41</v>
      </c>
      <c r="G366" s="2" t="s">
        <v>24</v>
      </c>
      <c r="H366" s="2" t="s">
        <v>25</v>
      </c>
      <c r="I366" s="2" t="s">
        <v>67</v>
      </c>
      <c r="J366" s="2" t="s">
        <v>108</v>
      </c>
      <c r="K366" s="2" t="s">
        <v>89</v>
      </c>
      <c r="L366" s="2" t="s">
        <v>92</v>
      </c>
      <c r="M366" s="2">
        <v>3</v>
      </c>
      <c r="N366" s="3">
        <v>1800000</v>
      </c>
      <c r="O366" s="3">
        <v>1816599.49</v>
      </c>
      <c r="P366" s="4">
        <v>10</v>
      </c>
      <c r="Q366" s="2">
        <v>1</v>
      </c>
      <c r="R366" s="3">
        <v>5449798.4699999997</v>
      </c>
      <c r="S366" s="3">
        <v>544979.85</v>
      </c>
      <c r="T366" s="3">
        <v>4904818.62</v>
      </c>
      <c r="U366" t="str">
        <f t="shared" si="5"/>
        <v>Achive</v>
      </c>
    </row>
    <row r="367" spans="1:21" x14ac:dyDescent="0.3">
      <c r="A367" s="2">
        <v>800307</v>
      </c>
      <c r="B367" s="10">
        <v>45594</v>
      </c>
      <c r="C367" s="2" t="s">
        <v>38</v>
      </c>
      <c r="D367" s="2" t="s">
        <v>63</v>
      </c>
      <c r="E367" s="2" t="s">
        <v>114</v>
      </c>
      <c r="F367" s="2" t="s">
        <v>23</v>
      </c>
      <c r="G367" s="2" t="s">
        <v>116</v>
      </c>
      <c r="H367" s="2" t="s">
        <v>25</v>
      </c>
      <c r="I367" s="2" t="s">
        <v>43</v>
      </c>
      <c r="J367" s="2" t="s">
        <v>44</v>
      </c>
      <c r="K367" s="2" t="s">
        <v>45</v>
      </c>
      <c r="L367" s="2" t="s">
        <v>37</v>
      </c>
      <c r="M367" s="2">
        <v>2</v>
      </c>
      <c r="N367" s="3">
        <v>800000</v>
      </c>
      <c r="O367" s="3">
        <v>796019.09</v>
      </c>
      <c r="P367" s="4">
        <v>10</v>
      </c>
      <c r="Q367" s="2">
        <v>0</v>
      </c>
      <c r="R367" s="3">
        <v>1592038.18</v>
      </c>
      <c r="S367" s="3">
        <v>159203.82</v>
      </c>
      <c r="T367" s="3">
        <v>1432834.36</v>
      </c>
      <c r="U367" t="str">
        <f t="shared" si="5"/>
        <v>Not achive</v>
      </c>
    </row>
    <row r="368" spans="1:21" x14ac:dyDescent="0.3">
      <c r="A368" s="2">
        <v>800436</v>
      </c>
      <c r="B368" s="10">
        <v>45594</v>
      </c>
      <c r="C368" s="2" t="s">
        <v>69</v>
      </c>
      <c r="D368" s="2" t="s">
        <v>83</v>
      </c>
      <c r="E368" s="2" t="s">
        <v>97</v>
      </c>
      <c r="F368" s="2" t="s">
        <v>46</v>
      </c>
      <c r="G368" s="2" t="s">
        <v>61</v>
      </c>
      <c r="H368" s="2" t="s">
        <v>25</v>
      </c>
      <c r="I368" s="2" t="s">
        <v>67</v>
      </c>
      <c r="J368" s="2" t="s">
        <v>68</v>
      </c>
      <c r="K368" s="2" t="s">
        <v>117</v>
      </c>
      <c r="L368" s="2" t="s">
        <v>123</v>
      </c>
      <c r="M368" s="2">
        <v>3</v>
      </c>
      <c r="N368" s="3">
        <v>1200000</v>
      </c>
      <c r="O368" s="3">
        <v>1219448.28</v>
      </c>
      <c r="P368" s="4">
        <v>0</v>
      </c>
      <c r="Q368" s="2">
        <v>0</v>
      </c>
      <c r="R368" s="3">
        <v>3658344.84</v>
      </c>
      <c r="S368" s="3">
        <v>0</v>
      </c>
      <c r="T368" s="3">
        <v>3658344.84</v>
      </c>
      <c r="U368" t="str">
        <f t="shared" si="5"/>
        <v>Achive</v>
      </c>
    </row>
    <row r="369" spans="1:21" x14ac:dyDescent="0.3">
      <c r="A369" s="2">
        <v>800469</v>
      </c>
      <c r="B369" s="10">
        <v>45594</v>
      </c>
      <c r="C369" s="2" t="s">
        <v>38</v>
      </c>
      <c r="D369" s="2" t="s">
        <v>118</v>
      </c>
      <c r="E369" s="2" t="s">
        <v>125</v>
      </c>
      <c r="F369" s="2" t="s">
        <v>23</v>
      </c>
      <c r="G369" s="2" t="s">
        <v>116</v>
      </c>
      <c r="H369" s="2" t="s">
        <v>25</v>
      </c>
      <c r="I369" s="2" t="s">
        <v>26</v>
      </c>
      <c r="J369" s="2" t="s">
        <v>81</v>
      </c>
      <c r="K369" s="2" t="s">
        <v>49</v>
      </c>
      <c r="L369" s="2" t="s">
        <v>37</v>
      </c>
      <c r="M369" s="2">
        <v>1</v>
      </c>
      <c r="N369" s="3">
        <v>1700000</v>
      </c>
      <c r="O369" s="3">
        <v>1702312.04</v>
      </c>
      <c r="P369" s="4">
        <v>7.5</v>
      </c>
      <c r="Q369" s="2">
        <v>0</v>
      </c>
      <c r="R369" s="3">
        <v>1702312.04</v>
      </c>
      <c r="S369" s="3">
        <v>127673.4</v>
      </c>
      <c r="T369" s="3">
        <v>1574638.64</v>
      </c>
      <c r="U369" t="str">
        <f t="shared" si="5"/>
        <v>Not achive</v>
      </c>
    </row>
    <row r="370" spans="1:21" x14ac:dyDescent="0.3">
      <c r="A370" s="2">
        <v>800500</v>
      </c>
      <c r="B370" s="10">
        <v>45594</v>
      </c>
      <c r="C370" s="2" t="s">
        <v>38</v>
      </c>
      <c r="D370" s="2" t="s">
        <v>79</v>
      </c>
      <c r="E370" s="2" t="s">
        <v>80</v>
      </c>
      <c r="F370" s="2" t="s">
        <v>46</v>
      </c>
      <c r="G370" s="2" t="s">
        <v>94</v>
      </c>
      <c r="H370" s="2" t="s">
        <v>25</v>
      </c>
      <c r="I370" s="2" t="s">
        <v>43</v>
      </c>
      <c r="J370" s="2" t="s">
        <v>44</v>
      </c>
      <c r="K370" s="2" t="s">
        <v>45</v>
      </c>
      <c r="L370" s="2" t="s">
        <v>123</v>
      </c>
      <c r="M370" s="2">
        <v>1</v>
      </c>
      <c r="N370" s="3">
        <v>800000</v>
      </c>
      <c r="O370" s="3">
        <v>814693.83</v>
      </c>
      <c r="P370" s="4">
        <v>0</v>
      </c>
      <c r="Q370" s="2">
        <v>0</v>
      </c>
      <c r="R370" s="3">
        <v>814693.83</v>
      </c>
      <c r="S370" s="3">
        <v>0</v>
      </c>
      <c r="T370" s="3">
        <v>814693.83</v>
      </c>
      <c r="U370" t="str">
        <f t="shared" si="5"/>
        <v>Not achive</v>
      </c>
    </row>
    <row r="371" spans="1:21" x14ac:dyDescent="0.3">
      <c r="A371" s="2">
        <v>800592</v>
      </c>
      <c r="B371" s="10">
        <v>45594</v>
      </c>
      <c r="C371" s="2" t="s">
        <v>51</v>
      </c>
      <c r="D371" s="2" t="s">
        <v>52</v>
      </c>
      <c r="E371" s="2" t="s">
        <v>139</v>
      </c>
      <c r="F371" s="2" t="s">
        <v>23</v>
      </c>
      <c r="G371" s="2" t="s">
        <v>100</v>
      </c>
      <c r="H371" s="2" t="s">
        <v>25</v>
      </c>
      <c r="I371" s="2" t="s">
        <v>26</v>
      </c>
      <c r="J371" s="2" t="s">
        <v>76</v>
      </c>
      <c r="K371" s="2" t="s">
        <v>77</v>
      </c>
      <c r="L371" s="2" t="s">
        <v>78</v>
      </c>
      <c r="M371" s="2">
        <v>2</v>
      </c>
      <c r="N371" s="3">
        <v>700000</v>
      </c>
      <c r="O371" s="3">
        <v>693359.11</v>
      </c>
      <c r="P371" s="4">
        <v>0</v>
      </c>
      <c r="Q371" s="2">
        <v>0</v>
      </c>
      <c r="R371" s="3">
        <v>1386718.22</v>
      </c>
      <c r="S371" s="3">
        <v>0</v>
      </c>
      <c r="T371" s="3">
        <v>1386718.22</v>
      </c>
      <c r="U371" t="str">
        <f t="shared" si="5"/>
        <v>Not achive</v>
      </c>
    </row>
    <row r="372" spans="1:21" x14ac:dyDescent="0.3">
      <c r="A372" s="2">
        <v>800044</v>
      </c>
      <c r="B372" s="10">
        <v>45595</v>
      </c>
      <c r="C372" s="2" t="s">
        <v>69</v>
      </c>
      <c r="D372" s="2" t="s">
        <v>95</v>
      </c>
      <c r="E372" s="2" t="s">
        <v>131</v>
      </c>
      <c r="F372" s="2" t="s">
        <v>23</v>
      </c>
      <c r="G372" s="2" t="s">
        <v>33</v>
      </c>
      <c r="H372" s="2" t="s">
        <v>25</v>
      </c>
      <c r="I372" s="2" t="s">
        <v>26</v>
      </c>
      <c r="J372" s="2" t="s">
        <v>57</v>
      </c>
      <c r="K372" s="2" t="s">
        <v>99</v>
      </c>
      <c r="L372" s="2" t="s">
        <v>122</v>
      </c>
      <c r="M372" s="2">
        <v>1</v>
      </c>
      <c r="N372" s="3">
        <v>800000</v>
      </c>
      <c r="O372" s="3">
        <v>792594.72</v>
      </c>
      <c r="P372" s="4">
        <v>7.5</v>
      </c>
      <c r="Q372" s="2">
        <v>0</v>
      </c>
      <c r="R372" s="3">
        <v>792594.72</v>
      </c>
      <c r="S372" s="3">
        <v>59444.6</v>
      </c>
      <c r="T372" s="3">
        <v>733150.12</v>
      </c>
      <c r="U372" t="str">
        <f t="shared" si="5"/>
        <v>Not achive</v>
      </c>
    </row>
    <row r="373" spans="1:21" x14ac:dyDescent="0.3">
      <c r="A373" s="2">
        <v>800466</v>
      </c>
      <c r="B373" s="10">
        <v>45595</v>
      </c>
      <c r="C373" s="2" t="s">
        <v>69</v>
      </c>
      <c r="D373" s="2" t="s">
        <v>83</v>
      </c>
      <c r="E373" s="2" t="s">
        <v>84</v>
      </c>
      <c r="F373" s="2" t="s">
        <v>46</v>
      </c>
      <c r="G373" s="2" t="s">
        <v>116</v>
      </c>
      <c r="H373" s="2" t="s">
        <v>25</v>
      </c>
      <c r="I373" s="2" t="s">
        <v>26</v>
      </c>
      <c r="J373" s="2" t="s">
        <v>27</v>
      </c>
      <c r="K373" s="2" t="s">
        <v>58</v>
      </c>
      <c r="L373" s="2" t="s">
        <v>37</v>
      </c>
      <c r="M373" s="2">
        <v>3</v>
      </c>
      <c r="N373" s="3">
        <v>750000</v>
      </c>
      <c r="O373" s="3">
        <v>757377.47</v>
      </c>
      <c r="P373" s="4">
        <v>2</v>
      </c>
      <c r="Q373" s="2">
        <v>0</v>
      </c>
      <c r="R373" s="3">
        <v>2272132.41</v>
      </c>
      <c r="S373" s="3">
        <v>45442.65</v>
      </c>
      <c r="T373" s="3">
        <v>2226689.7599999998</v>
      </c>
      <c r="U373" t="str">
        <f t="shared" si="5"/>
        <v>Achive</v>
      </c>
    </row>
    <row r="374" spans="1:21" x14ac:dyDescent="0.3">
      <c r="A374" s="2">
        <v>800009</v>
      </c>
      <c r="B374" s="10">
        <v>45599</v>
      </c>
      <c r="C374" s="2" t="s">
        <v>20</v>
      </c>
      <c r="D374" s="2" t="s">
        <v>74</v>
      </c>
      <c r="E374" s="2" t="s">
        <v>75</v>
      </c>
      <c r="F374" s="2" t="s">
        <v>46</v>
      </c>
      <c r="G374" s="2" t="s">
        <v>94</v>
      </c>
      <c r="H374" s="2" t="s">
        <v>25</v>
      </c>
      <c r="I374" s="2" t="s">
        <v>26</v>
      </c>
      <c r="J374" s="2" t="s">
        <v>48</v>
      </c>
      <c r="K374" s="2" t="s">
        <v>49</v>
      </c>
      <c r="L374" s="2" t="s">
        <v>29</v>
      </c>
      <c r="M374" s="2">
        <v>1</v>
      </c>
      <c r="N374" s="3">
        <v>1200000</v>
      </c>
      <c r="O374" s="3">
        <v>1173170.48</v>
      </c>
      <c r="P374" s="4">
        <v>0</v>
      </c>
      <c r="Q374" s="2">
        <v>0</v>
      </c>
      <c r="R374" s="3">
        <v>1173170.48</v>
      </c>
      <c r="S374" s="3">
        <v>0</v>
      </c>
      <c r="T374" s="3">
        <v>1173170.48</v>
      </c>
      <c r="U374" t="str">
        <f t="shared" si="5"/>
        <v>Not achive</v>
      </c>
    </row>
    <row r="375" spans="1:21" x14ac:dyDescent="0.3">
      <c r="A375" s="2">
        <v>800122</v>
      </c>
      <c r="B375" s="10">
        <v>45599</v>
      </c>
      <c r="C375" s="2" t="s">
        <v>20</v>
      </c>
      <c r="D375" s="2" t="s">
        <v>21</v>
      </c>
      <c r="E375" s="2" t="s">
        <v>98</v>
      </c>
      <c r="F375" s="2" t="s">
        <v>65</v>
      </c>
      <c r="G375" s="2" t="s">
        <v>94</v>
      </c>
      <c r="H375" s="2" t="s">
        <v>25</v>
      </c>
      <c r="I375" s="2" t="s">
        <v>67</v>
      </c>
      <c r="J375" s="2" t="s">
        <v>85</v>
      </c>
      <c r="K375" s="2" t="s">
        <v>91</v>
      </c>
      <c r="L375" s="2" t="s">
        <v>123</v>
      </c>
      <c r="M375" s="2">
        <v>1</v>
      </c>
      <c r="N375" s="3">
        <v>1500000</v>
      </c>
      <c r="O375" s="3">
        <v>1505258.73</v>
      </c>
      <c r="P375" s="4">
        <v>0</v>
      </c>
      <c r="Q375" s="2">
        <v>0</v>
      </c>
      <c r="R375" s="3">
        <v>1505258.73</v>
      </c>
      <c r="S375" s="3">
        <v>0</v>
      </c>
      <c r="T375" s="3">
        <v>1505258.73</v>
      </c>
      <c r="U375" t="str">
        <f t="shared" si="5"/>
        <v>Not achive</v>
      </c>
    </row>
    <row r="376" spans="1:21" x14ac:dyDescent="0.3">
      <c r="A376" s="2">
        <v>800585</v>
      </c>
      <c r="B376" s="10">
        <v>45599</v>
      </c>
      <c r="C376" s="2" t="s">
        <v>38</v>
      </c>
      <c r="D376" s="2" t="s">
        <v>39</v>
      </c>
      <c r="E376" s="2" t="s">
        <v>126</v>
      </c>
      <c r="F376" s="2" t="s">
        <v>65</v>
      </c>
      <c r="G376" s="2" t="s">
        <v>61</v>
      </c>
      <c r="H376" s="2" t="s">
        <v>25</v>
      </c>
      <c r="I376" s="2" t="s">
        <v>26</v>
      </c>
      <c r="J376" s="2" t="s">
        <v>105</v>
      </c>
      <c r="K376" s="2" t="s">
        <v>49</v>
      </c>
      <c r="L376" s="2" t="s">
        <v>29</v>
      </c>
      <c r="M376" s="2">
        <v>3</v>
      </c>
      <c r="N376" s="3">
        <v>950000</v>
      </c>
      <c r="O376" s="3">
        <v>936990.55</v>
      </c>
      <c r="P376" s="4">
        <v>12.5</v>
      </c>
      <c r="Q376" s="2">
        <v>0</v>
      </c>
      <c r="R376" s="3">
        <v>2810971.65</v>
      </c>
      <c r="S376" s="3">
        <v>351371.46</v>
      </c>
      <c r="T376" s="3">
        <v>2459600.19</v>
      </c>
      <c r="U376" t="str">
        <f t="shared" si="5"/>
        <v>Achive</v>
      </c>
    </row>
    <row r="377" spans="1:21" x14ac:dyDescent="0.3">
      <c r="A377" s="2">
        <v>800566</v>
      </c>
      <c r="B377" s="10">
        <v>45600</v>
      </c>
      <c r="C377" s="2" t="s">
        <v>51</v>
      </c>
      <c r="D377" s="2" t="s">
        <v>106</v>
      </c>
      <c r="E377" s="2" t="s">
        <v>128</v>
      </c>
      <c r="F377" s="2" t="s">
        <v>46</v>
      </c>
      <c r="G377" s="2" t="s">
        <v>33</v>
      </c>
      <c r="H377" s="2" t="s">
        <v>25</v>
      </c>
      <c r="I377" s="2" t="s">
        <v>26</v>
      </c>
      <c r="J377" s="2" t="s">
        <v>57</v>
      </c>
      <c r="K377" s="2" t="s">
        <v>99</v>
      </c>
      <c r="L377" s="2" t="s">
        <v>122</v>
      </c>
      <c r="M377" s="2">
        <v>2</v>
      </c>
      <c r="N377" s="3">
        <v>800000</v>
      </c>
      <c r="O377" s="3">
        <v>781013.77</v>
      </c>
      <c r="P377" s="4">
        <v>0</v>
      </c>
      <c r="Q377" s="2">
        <v>0</v>
      </c>
      <c r="R377" s="3">
        <v>1562027.54</v>
      </c>
      <c r="S377" s="3">
        <v>0</v>
      </c>
      <c r="T377" s="3">
        <v>1562027.54</v>
      </c>
      <c r="U377" t="str">
        <f t="shared" si="5"/>
        <v>Not achive</v>
      </c>
    </row>
    <row r="378" spans="1:21" x14ac:dyDescent="0.3">
      <c r="A378" s="2">
        <v>800008</v>
      </c>
      <c r="B378" s="10">
        <v>45602</v>
      </c>
      <c r="C378" s="2" t="s">
        <v>38</v>
      </c>
      <c r="D378" s="2" t="s">
        <v>79</v>
      </c>
      <c r="E378" s="2" t="s">
        <v>138</v>
      </c>
      <c r="F378" s="2" t="s">
        <v>23</v>
      </c>
      <c r="G378" s="2" t="s">
        <v>72</v>
      </c>
      <c r="H378" s="2" t="s">
        <v>25</v>
      </c>
      <c r="I378" s="2" t="s">
        <v>43</v>
      </c>
      <c r="J378" s="2" t="s">
        <v>101</v>
      </c>
      <c r="K378" s="2" t="s">
        <v>102</v>
      </c>
      <c r="L378" s="2" t="s">
        <v>73</v>
      </c>
      <c r="M378" s="2">
        <v>3</v>
      </c>
      <c r="N378" s="3">
        <v>1000000</v>
      </c>
      <c r="O378" s="3">
        <v>976981.52</v>
      </c>
      <c r="P378" s="4">
        <v>5</v>
      </c>
      <c r="Q378" s="2">
        <v>0</v>
      </c>
      <c r="R378" s="3">
        <v>2930944.56</v>
      </c>
      <c r="S378" s="3">
        <v>146547.23000000001</v>
      </c>
      <c r="T378" s="3">
        <v>2784397.33</v>
      </c>
      <c r="U378" t="str">
        <f t="shared" si="5"/>
        <v>Achive</v>
      </c>
    </row>
    <row r="379" spans="1:21" x14ac:dyDescent="0.3">
      <c r="A379" s="2">
        <v>800063</v>
      </c>
      <c r="B379" s="10">
        <v>45602</v>
      </c>
      <c r="C379" s="2" t="s">
        <v>51</v>
      </c>
      <c r="D379" s="2" t="s">
        <v>110</v>
      </c>
      <c r="E379" s="2" t="s">
        <v>111</v>
      </c>
      <c r="F379" s="2" t="s">
        <v>32</v>
      </c>
      <c r="G379" s="2" t="s">
        <v>54</v>
      </c>
      <c r="H379" s="2" t="s">
        <v>25</v>
      </c>
      <c r="I379" s="2" t="s">
        <v>26</v>
      </c>
      <c r="J379" s="2" t="s">
        <v>76</v>
      </c>
      <c r="K379" s="2" t="s">
        <v>115</v>
      </c>
      <c r="L379" s="2" t="s">
        <v>87</v>
      </c>
      <c r="M379" s="2">
        <v>2</v>
      </c>
      <c r="N379" s="3">
        <v>700000</v>
      </c>
      <c r="O379" s="3">
        <v>710797.65</v>
      </c>
      <c r="P379" s="4">
        <v>5</v>
      </c>
      <c r="Q379" s="2">
        <v>0</v>
      </c>
      <c r="R379" s="3">
        <v>1421595.3</v>
      </c>
      <c r="S379" s="3">
        <v>71079.759999999995</v>
      </c>
      <c r="T379" s="3">
        <v>1350515.54</v>
      </c>
      <c r="U379" t="str">
        <f t="shared" si="5"/>
        <v>Not achive</v>
      </c>
    </row>
    <row r="380" spans="1:21" x14ac:dyDescent="0.3">
      <c r="A380" s="2">
        <v>800221</v>
      </c>
      <c r="B380" s="10">
        <v>45602</v>
      </c>
      <c r="C380" s="2" t="s">
        <v>20</v>
      </c>
      <c r="D380" s="2" t="s">
        <v>74</v>
      </c>
      <c r="E380" s="2" t="s">
        <v>75</v>
      </c>
      <c r="F380" s="2" t="s">
        <v>23</v>
      </c>
      <c r="G380" s="2" t="s">
        <v>42</v>
      </c>
      <c r="H380" s="2" t="s">
        <v>25</v>
      </c>
      <c r="I380" s="2" t="s">
        <v>26</v>
      </c>
      <c r="J380" s="2" t="s">
        <v>57</v>
      </c>
      <c r="K380" s="2" t="s">
        <v>58</v>
      </c>
      <c r="L380" s="2" t="s">
        <v>87</v>
      </c>
      <c r="M380" s="2">
        <v>2</v>
      </c>
      <c r="N380" s="3">
        <v>800000</v>
      </c>
      <c r="O380" s="3">
        <v>777167.69</v>
      </c>
      <c r="P380" s="4">
        <v>2</v>
      </c>
      <c r="Q380" s="2">
        <v>0</v>
      </c>
      <c r="R380" s="3">
        <v>1554335.38</v>
      </c>
      <c r="S380" s="3">
        <v>31086.71</v>
      </c>
      <c r="T380" s="3">
        <v>1523248.67</v>
      </c>
      <c r="U380" t="str">
        <f t="shared" si="5"/>
        <v>Not achive</v>
      </c>
    </row>
    <row r="381" spans="1:21" x14ac:dyDescent="0.3">
      <c r="A381" s="2">
        <v>800242</v>
      </c>
      <c r="B381" s="10">
        <v>45602</v>
      </c>
      <c r="C381" s="2" t="s">
        <v>69</v>
      </c>
      <c r="D381" s="2" t="s">
        <v>70</v>
      </c>
      <c r="E381" s="2" t="s">
        <v>136</v>
      </c>
      <c r="F381" s="2" t="s">
        <v>23</v>
      </c>
      <c r="G381" s="2" t="s">
        <v>90</v>
      </c>
      <c r="H381" s="2" t="s">
        <v>25</v>
      </c>
      <c r="I381" s="2" t="s">
        <v>26</v>
      </c>
      <c r="J381" s="2" t="s">
        <v>27</v>
      </c>
      <c r="K381" s="2" t="s">
        <v>58</v>
      </c>
      <c r="L381" s="2" t="s">
        <v>73</v>
      </c>
      <c r="M381" s="2">
        <v>1</v>
      </c>
      <c r="N381" s="3">
        <v>750000</v>
      </c>
      <c r="O381" s="3">
        <v>749609.02</v>
      </c>
      <c r="P381" s="4">
        <v>10</v>
      </c>
      <c r="Q381" s="2">
        <v>0</v>
      </c>
      <c r="R381" s="3">
        <v>749609.02</v>
      </c>
      <c r="S381" s="3">
        <v>74960.899999999994</v>
      </c>
      <c r="T381" s="3">
        <v>674648.12</v>
      </c>
      <c r="U381" t="str">
        <f t="shared" si="5"/>
        <v>Not achive</v>
      </c>
    </row>
    <row r="382" spans="1:21" x14ac:dyDescent="0.3">
      <c r="A382" s="2">
        <v>800250</v>
      </c>
      <c r="B382" s="10">
        <v>45602</v>
      </c>
      <c r="C382" s="2" t="s">
        <v>20</v>
      </c>
      <c r="D382" s="2" t="s">
        <v>74</v>
      </c>
      <c r="E382" s="2" t="s">
        <v>113</v>
      </c>
      <c r="F382" s="2" t="s">
        <v>46</v>
      </c>
      <c r="G382" s="2" t="s">
        <v>24</v>
      </c>
      <c r="H382" s="2" t="s">
        <v>25</v>
      </c>
      <c r="I382" s="2" t="s">
        <v>26</v>
      </c>
      <c r="J382" s="2" t="s">
        <v>57</v>
      </c>
      <c r="K382" s="2" t="s">
        <v>99</v>
      </c>
      <c r="L382" s="2" t="s">
        <v>78</v>
      </c>
      <c r="M382" s="2">
        <v>3</v>
      </c>
      <c r="N382" s="3">
        <v>800000</v>
      </c>
      <c r="O382" s="3">
        <v>811456.59</v>
      </c>
      <c r="P382" s="4">
        <v>0</v>
      </c>
      <c r="Q382" s="2">
        <v>0</v>
      </c>
      <c r="R382" s="3">
        <v>2434369.77</v>
      </c>
      <c r="S382" s="3">
        <v>0</v>
      </c>
      <c r="T382" s="3">
        <v>2434369.77</v>
      </c>
      <c r="U382" t="str">
        <f t="shared" si="5"/>
        <v>Achive</v>
      </c>
    </row>
    <row r="383" spans="1:21" x14ac:dyDescent="0.3">
      <c r="A383" s="2">
        <v>800573</v>
      </c>
      <c r="B383" s="10">
        <v>45602</v>
      </c>
      <c r="C383" s="2" t="s">
        <v>20</v>
      </c>
      <c r="D383" s="2" t="s">
        <v>74</v>
      </c>
      <c r="E383" s="2" t="s">
        <v>113</v>
      </c>
      <c r="F383" s="2" t="s">
        <v>32</v>
      </c>
      <c r="G383" s="2" t="s">
        <v>33</v>
      </c>
      <c r="H383" s="2" t="s">
        <v>25</v>
      </c>
      <c r="I383" s="2" t="s">
        <v>67</v>
      </c>
      <c r="J383" s="2" t="s">
        <v>68</v>
      </c>
      <c r="K383" s="2" t="s">
        <v>91</v>
      </c>
      <c r="L383" s="2" t="s">
        <v>37</v>
      </c>
      <c r="M383" s="2">
        <v>1</v>
      </c>
      <c r="N383" s="3">
        <v>1200000</v>
      </c>
      <c r="O383" s="3">
        <v>1197234.95</v>
      </c>
      <c r="P383" s="4">
        <v>5</v>
      </c>
      <c r="Q383" s="2">
        <v>0</v>
      </c>
      <c r="R383" s="3">
        <v>1197234.95</v>
      </c>
      <c r="S383" s="3">
        <v>59861.75</v>
      </c>
      <c r="T383" s="3">
        <v>1137373.2</v>
      </c>
      <c r="U383" t="str">
        <f t="shared" si="5"/>
        <v>Not achive</v>
      </c>
    </row>
    <row r="384" spans="1:21" x14ac:dyDescent="0.3">
      <c r="A384" s="2">
        <v>800037</v>
      </c>
      <c r="B384" s="10">
        <v>45603</v>
      </c>
      <c r="C384" s="2" t="s">
        <v>20</v>
      </c>
      <c r="D384" s="2" t="s">
        <v>30</v>
      </c>
      <c r="E384" s="2" t="s">
        <v>88</v>
      </c>
      <c r="F384" s="2" t="s">
        <v>46</v>
      </c>
      <c r="G384" s="2" t="s">
        <v>54</v>
      </c>
      <c r="H384" s="2" t="s">
        <v>25</v>
      </c>
      <c r="I384" s="2" t="s">
        <v>67</v>
      </c>
      <c r="J384" s="2" t="s">
        <v>112</v>
      </c>
      <c r="K384" s="2" t="s">
        <v>99</v>
      </c>
      <c r="L384" s="2" t="s">
        <v>87</v>
      </c>
      <c r="M384" s="2">
        <v>3</v>
      </c>
      <c r="N384" s="3">
        <v>1250000</v>
      </c>
      <c r="O384" s="3">
        <v>1264607.82</v>
      </c>
      <c r="P384" s="4">
        <v>5</v>
      </c>
      <c r="Q384" s="2">
        <v>0</v>
      </c>
      <c r="R384" s="3">
        <v>3793823.46</v>
      </c>
      <c r="S384" s="3">
        <v>189691.17</v>
      </c>
      <c r="T384" s="3">
        <v>3604132.29</v>
      </c>
      <c r="U384" t="str">
        <f t="shared" si="5"/>
        <v>Achive</v>
      </c>
    </row>
    <row r="385" spans="1:21" x14ac:dyDescent="0.3">
      <c r="A385" s="2">
        <v>800211</v>
      </c>
      <c r="B385" s="10">
        <v>45603</v>
      </c>
      <c r="C385" s="2" t="s">
        <v>69</v>
      </c>
      <c r="D385" s="2" t="s">
        <v>70</v>
      </c>
      <c r="E385" s="2" t="s">
        <v>71</v>
      </c>
      <c r="F385" s="2" t="s">
        <v>46</v>
      </c>
      <c r="G385" s="2" t="s">
        <v>47</v>
      </c>
      <c r="H385" s="2" t="s">
        <v>25</v>
      </c>
      <c r="I385" s="2" t="s">
        <v>26</v>
      </c>
      <c r="J385" s="2" t="s">
        <v>127</v>
      </c>
      <c r="K385" s="2" t="s">
        <v>130</v>
      </c>
      <c r="L385" s="2" t="s">
        <v>123</v>
      </c>
      <c r="M385" s="2">
        <v>3</v>
      </c>
      <c r="N385" s="3">
        <v>650000</v>
      </c>
      <c r="O385" s="3">
        <v>642846.42000000004</v>
      </c>
      <c r="P385" s="4">
        <v>7.5</v>
      </c>
      <c r="Q385" s="2">
        <v>0</v>
      </c>
      <c r="R385" s="3">
        <v>1928539.26</v>
      </c>
      <c r="S385" s="3">
        <v>144640.44</v>
      </c>
      <c r="T385" s="3">
        <v>1783898.82</v>
      </c>
      <c r="U385" t="str">
        <f t="shared" si="5"/>
        <v>Not achive</v>
      </c>
    </row>
    <row r="386" spans="1:21" x14ac:dyDescent="0.3">
      <c r="A386" s="2">
        <v>800139</v>
      </c>
      <c r="B386" s="10">
        <v>45605</v>
      </c>
      <c r="C386" s="2" t="s">
        <v>38</v>
      </c>
      <c r="D386" s="2" t="s">
        <v>63</v>
      </c>
      <c r="E386" s="2" t="s">
        <v>64</v>
      </c>
      <c r="F386" s="2" t="s">
        <v>46</v>
      </c>
      <c r="G386" s="2" t="s">
        <v>33</v>
      </c>
      <c r="H386" s="2" t="s">
        <v>25</v>
      </c>
      <c r="I386" s="2" t="s">
        <v>26</v>
      </c>
      <c r="J386" s="2" t="s">
        <v>48</v>
      </c>
      <c r="K386" s="2" t="s">
        <v>89</v>
      </c>
      <c r="L386" s="2" t="s">
        <v>37</v>
      </c>
      <c r="M386" s="2">
        <v>1</v>
      </c>
      <c r="N386" s="3">
        <v>1200000</v>
      </c>
      <c r="O386" s="3">
        <v>1207608.8600000001</v>
      </c>
      <c r="P386" s="4">
        <v>7.5</v>
      </c>
      <c r="Q386" s="2">
        <v>0</v>
      </c>
      <c r="R386" s="3">
        <v>1207608.8600000001</v>
      </c>
      <c r="S386" s="3">
        <v>90570.66</v>
      </c>
      <c r="T386" s="3">
        <v>1117038.2</v>
      </c>
      <c r="U386" t="str">
        <f t="shared" ref="U386:U449" si="6">IF(T386&gt;2000000,"Achive","Not achive")</f>
        <v>Not achive</v>
      </c>
    </row>
    <row r="387" spans="1:21" x14ac:dyDescent="0.3">
      <c r="A387" s="2">
        <v>800201</v>
      </c>
      <c r="B387" s="10">
        <v>45605</v>
      </c>
      <c r="C387" s="2" t="s">
        <v>51</v>
      </c>
      <c r="D387" s="2" t="s">
        <v>106</v>
      </c>
      <c r="E387" s="2" t="s">
        <v>107</v>
      </c>
      <c r="F387" s="2" t="s">
        <v>23</v>
      </c>
      <c r="G387" s="2" t="s">
        <v>72</v>
      </c>
      <c r="H387" s="2" t="s">
        <v>25</v>
      </c>
      <c r="I387" s="2" t="s">
        <v>67</v>
      </c>
      <c r="J387" s="2" t="s">
        <v>108</v>
      </c>
      <c r="K387" s="2" t="s">
        <v>62</v>
      </c>
      <c r="L387" s="2" t="s">
        <v>29</v>
      </c>
      <c r="M387" s="2">
        <v>3</v>
      </c>
      <c r="N387" s="3">
        <v>1800000</v>
      </c>
      <c r="O387" s="3">
        <v>1746850.52</v>
      </c>
      <c r="P387" s="4">
        <v>0</v>
      </c>
      <c r="Q387" s="2">
        <v>0</v>
      </c>
      <c r="R387" s="3">
        <v>5240551.5599999996</v>
      </c>
      <c r="S387" s="3">
        <v>0</v>
      </c>
      <c r="T387" s="3">
        <v>5240551.5599999996</v>
      </c>
      <c r="U387" t="str">
        <f t="shared" si="6"/>
        <v>Achive</v>
      </c>
    </row>
    <row r="388" spans="1:21" x14ac:dyDescent="0.3">
      <c r="A388" s="2">
        <v>800484</v>
      </c>
      <c r="B388" s="10">
        <v>45605</v>
      </c>
      <c r="C388" s="2" t="s">
        <v>20</v>
      </c>
      <c r="D388" s="2" t="s">
        <v>21</v>
      </c>
      <c r="E388" s="2" t="s">
        <v>98</v>
      </c>
      <c r="F388" s="2" t="s">
        <v>32</v>
      </c>
      <c r="G388" s="2" t="s">
        <v>100</v>
      </c>
      <c r="H388" s="2" t="s">
        <v>25</v>
      </c>
      <c r="I388" s="2" t="s">
        <v>26</v>
      </c>
      <c r="J388" s="2" t="s">
        <v>48</v>
      </c>
      <c r="K388" s="2" t="s">
        <v>89</v>
      </c>
      <c r="L388" s="2" t="s">
        <v>50</v>
      </c>
      <c r="M388" s="2">
        <v>2</v>
      </c>
      <c r="N388" s="3">
        <v>1200000</v>
      </c>
      <c r="O388" s="3">
        <v>1176494.29</v>
      </c>
      <c r="P388" s="4">
        <v>10</v>
      </c>
      <c r="Q388" s="2">
        <v>0</v>
      </c>
      <c r="R388" s="3">
        <v>2352988.58</v>
      </c>
      <c r="S388" s="3">
        <v>235298.86</v>
      </c>
      <c r="T388" s="3">
        <v>2117689.7200000002</v>
      </c>
      <c r="U388" t="str">
        <f t="shared" si="6"/>
        <v>Achive</v>
      </c>
    </row>
    <row r="389" spans="1:21" x14ac:dyDescent="0.3">
      <c r="A389" s="2">
        <v>800632</v>
      </c>
      <c r="B389" s="10">
        <v>45606</v>
      </c>
      <c r="C389" s="2" t="s">
        <v>69</v>
      </c>
      <c r="D389" s="2" t="s">
        <v>95</v>
      </c>
      <c r="E389" s="2" t="s">
        <v>131</v>
      </c>
      <c r="F389" s="2" t="s">
        <v>46</v>
      </c>
      <c r="G389" s="2" t="s">
        <v>61</v>
      </c>
      <c r="H389" s="2" t="s">
        <v>25</v>
      </c>
      <c r="I389" s="2" t="s">
        <v>43</v>
      </c>
      <c r="J389" s="2" t="s">
        <v>44</v>
      </c>
      <c r="K389" s="2" t="s">
        <v>45</v>
      </c>
      <c r="L389" s="2" t="s">
        <v>122</v>
      </c>
      <c r="M389" s="2">
        <v>1</v>
      </c>
      <c r="N389" s="3">
        <v>800000</v>
      </c>
      <c r="O389" s="3">
        <v>784369.18</v>
      </c>
      <c r="P389" s="4">
        <v>0</v>
      </c>
      <c r="Q389" s="2">
        <v>0</v>
      </c>
      <c r="R389" s="3">
        <v>784369.18</v>
      </c>
      <c r="S389" s="3">
        <v>0</v>
      </c>
      <c r="T389" s="3">
        <v>784369.18</v>
      </c>
      <c r="U389" t="str">
        <f t="shared" si="6"/>
        <v>Not achive</v>
      </c>
    </row>
    <row r="390" spans="1:21" x14ac:dyDescent="0.3">
      <c r="A390" s="2">
        <v>800636</v>
      </c>
      <c r="B390" s="10">
        <v>45606</v>
      </c>
      <c r="C390" s="2" t="s">
        <v>51</v>
      </c>
      <c r="D390" s="2" t="s">
        <v>110</v>
      </c>
      <c r="E390" s="2" t="s">
        <v>111</v>
      </c>
      <c r="F390" s="2" t="s">
        <v>65</v>
      </c>
      <c r="G390" s="2" t="s">
        <v>94</v>
      </c>
      <c r="H390" s="2" t="s">
        <v>25</v>
      </c>
      <c r="I390" s="2" t="s">
        <v>26</v>
      </c>
      <c r="J390" s="2" t="s">
        <v>27</v>
      </c>
      <c r="K390" s="2" t="s">
        <v>28</v>
      </c>
      <c r="L390" s="2" t="s">
        <v>87</v>
      </c>
      <c r="M390" s="2">
        <v>2</v>
      </c>
      <c r="N390" s="3">
        <v>750000</v>
      </c>
      <c r="O390" s="3">
        <v>731885.28</v>
      </c>
      <c r="P390" s="4">
        <v>7.5</v>
      </c>
      <c r="Q390" s="2">
        <v>0</v>
      </c>
      <c r="R390" s="3">
        <v>1463770.56</v>
      </c>
      <c r="S390" s="3">
        <v>109782.79</v>
      </c>
      <c r="T390" s="3">
        <v>1353987.77</v>
      </c>
      <c r="U390" t="str">
        <f t="shared" si="6"/>
        <v>Not achive</v>
      </c>
    </row>
    <row r="391" spans="1:21" x14ac:dyDescent="0.3">
      <c r="A391" s="2">
        <v>800119</v>
      </c>
      <c r="B391" s="10">
        <v>45607</v>
      </c>
      <c r="C391" s="2" t="s">
        <v>69</v>
      </c>
      <c r="D391" s="2" t="s">
        <v>95</v>
      </c>
      <c r="E391" s="2" t="s">
        <v>135</v>
      </c>
      <c r="F391" s="2" t="s">
        <v>41</v>
      </c>
      <c r="G391" s="2" t="s">
        <v>24</v>
      </c>
      <c r="H391" s="2" t="s">
        <v>25</v>
      </c>
      <c r="I391" s="2" t="s">
        <v>26</v>
      </c>
      <c r="J391" s="2" t="s">
        <v>120</v>
      </c>
      <c r="K391" s="2" t="s">
        <v>49</v>
      </c>
      <c r="L391" s="2" t="s">
        <v>59</v>
      </c>
      <c r="M391" s="2">
        <v>3</v>
      </c>
      <c r="N391" s="3">
        <v>1900000</v>
      </c>
      <c r="O391" s="3">
        <v>1859393.1</v>
      </c>
      <c r="P391" s="4">
        <v>2</v>
      </c>
      <c r="Q391" s="2">
        <v>0</v>
      </c>
      <c r="R391" s="3">
        <v>5578179.2999999998</v>
      </c>
      <c r="S391" s="3">
        <v>111563.59</v>
      </c>
      <c r="T391" s="3">
        <v>5466615.71</v>
      </c>
      <c r="U391" t="str">
        <f t="shared" si="6"/>
        <v>Achive</v>
      </c>
    </row>
    <row r="392" spans="1:21" x14ac:dyDescent="0.3">
      <c r="A392" s="2">
        <v>800409</v>
      </c>
      <c r="B392" s="10">
        <v>45607</v>
      </c>
      <c r="C392" s="2" t="s">
        <v>20</v>
      </c>
      <c r="D392" s="2" t="s">
        <v>21</v>
      </c>
      <c r="E392" s="2" t="s">
        <v>22</v>
      </c>
      <c r="F392" s="2" t="s">
        <v>41</v>
      </c>
      <c r="G392" s="2" t="s">
        <v>100</v>
      </c>
      <c r="H392" s="2" t="s">
        <v>25</v>
      </c>
      <c r="I392" s="2" t="s">
        <v>26</v>
      </c>
      <c r="J392" s="2" t="s">
        <v>127</v>
      </c>
      <c r="K392" s="2" t="s">
        <v>99</v>
      </c>
      <c r="L392" s="2" t="s">
        <v>29</v>
      </c>
      <c r="M392" s="2">
        <v>1</v>
      </c>
      <c r="N392" s="3">
        <v>650000</v>
      </c>
      <c r="O392" s="3">
        <v>662100.81000000006</v>
      </c>
      <c r="P392" s="4">
        <v>5</v>
      </c>
      <c r="Q392" s="2">
        <v>0</v>
      </c>
      <c r="R392" s="3">
        <v>662100.81000000006</v>
      </c>
      <c r="S392" s="3">
        <v>33105.040000000001</v>
      </c>
      <c r="T392" s="3">
        <v>628995.77</v>
      </c>
      <c r="U392" t="str">
        <f t="shared" si="6"/>
        <v>Not achive</v>
      </c>
    </row>
    <row r="393" spans="1:21" x14ac:dyDescent="0.3">
      <c r="A393" s="2">
        <v>800087</v>
      </c>
      <c r="B393" s="10">
        <v>45608</v>
      </c>
      <c r="C393" s="2" t="s">
        <v>38</v>
      </c>
      <c r="D393" s="2" t="s">
        <v>79</v>
      </c>
      <c r="E393" s="2" t="s">
        <v>138</v>
      </c>
      <c r="F393" s="2" t="s">
        <v>46</v>
      </c>
      <c r="G393" s="2" t="s">
        <v>54</v>
      </c>
      <c r="H393" s="2" t="s">
        <v>25</v>
      </c>
      <c r="I393" s="2" t="s">
        <v>67</v>
      </c>
      <c r="J393" s="2" t="s">
        <v>68</v>
      </c>
      <c r="K393" s="2" t="s">
        <v>91</v>
      </c>
      <c r="L393" s="2" t="s">
        <v>73</v>
      </c>
      <c r="M393" s="2">
        <v>3</v>
      </c>
      <c r="N393" s="3">
        <v>1200000</v>
      </c>
      <c r="O393" s="3">
        <v>1169829.8400000001</v>
      </c>
      <c r="P393" s="4">
        <v>0</v>
      </c>
      <c r="Q393" s="2">
        <v>0</v>
      </c>
      <c r="R393" s="3">
        <v>3509489.52</v>
      </c>
      <c r="S393" s="3">
        <v>0</v>
      </c>
      <c r="T393" s="3">
        <v>3509489.52</v>
      </c>
      <c r="U393" t="str">
        <f t="shared" si="6"/>
        <v>Achive</v>
      </c>
    </row>
    <row r="394" spans="1:21" x14ac:dyDescent="0.3">
      <c r="A394" s="2">
        <v>800453</v>
      </c>
      <c r="B394" s="10">
        <v>45608</v>
      </c>
      <c r="C394" s="2" t="s">
        <v>20</v>
      </c>
      <c r="D394" s="2" t="s">
        <v>21</v>
      </c>
      <c r="E394" s="2" t="s">
        <v>98</v>
      </c>
      <c r="F394" s="2" t="s">
        <v>32</v>
      </c>
      <c r="G394" s="2" t="s">
        <v>94</v>
      </c>
      <c r="H394" s="2" t="s">
        <v>25</v>
      </c>
      <c r="I394" s="2" t="s">
        <v>67</v>
      </c>
      <c r="J394" s="2" t="s">
        <v>85</v>
      </c>
      <c r="K394" s="2" t="s">
        <v>91</v>
      </c>
      <c r="L394" s="2" t="s">
        <v>29</v>
      </c>
      <c r="M394" s="2">
        <v>3</v>
      </c>
      <c r="N394" s="3">
        <v>1500000</v>
      </c>
      <c r="O394" s="3">
        <v>1484054.84</v>
      </c>
      <c r="P394" s="4">
        <v>0</v>
      </c>
      <c r="Q394" s="2">
        <v>0</v>
      </c>
      <c r="R394" s="3">
        <v>4452164.5199999996</v>
      </c>
      <c r="S394" s="3">
        <v>0</v>
      </c>
      <c r="T394" s="3">
        <v>4452164.5199999996</v>
      </c>
      <c r="U394" t="str">
        <f t="shared" si="6"/>
        <v>Achive</v>
      </c>
    </row>
    <row r="395" spans="1:21" x14ac:dyDescent="0.3">
      <c r="A395" s="2">
        <v>800041</v>
      </c>
      <c r="B395" s="10">
        <v>45609</v>
      </c>
      <c r="C395" s="2" t="s">
        <v>69</v>
      </c>
      <c r="D395" s="2" t="s">
        <v>83</v>
      </c>
      <c r="E395" s="2" t="s">
        <v>84</v>
      </c>
      <c r="F395" s="2" t="s">
        <v>41</v>
      </c>
      <c r="G395" s="2" t="s">
        <v>94</v>
      </c>
      <c r="H395" s="2" t="s">
        <v>25</v>
      </c>
      <c r="I395" s="2" t="s">
        <v>26</v>
      </c>
      <c r="J395" s="2" t="s">
        <v>76</v>
      </c>
      <c r="K395" s="2" t="s">
        <v>77</v>
      </c>
      <c r="L395" s="2" t="s">
        <v>37</v>
      </c>
      <c r="M395" s="2">
        <v>1</v>
      </c>
      <c r="N395" s="3">
        <v>700000</v>
      </c>
      <c r="O395" s="3">
        <v>707049.58</v>
      </c>
      <c r="P395" s="4">
        <v>7.5</v>
      </c>
      <c r="Q395" s="2">
        <v>0</v>
      </c>
      <c r="R395" s="3">
        <v>707049.58</v>
      </c>
      <c r="S395" s="3">
        <v>53028.72</v>
      </c>
      <c r="T395" s="3">
        <v>654020.86</v>
      </c>
      <c r="U395" t="str">
        <f t="shared" si="6"/>
        <v>Not achive</v>
      </c>
    </row>
    <row r="396" spans="1:21" x14ac:dyDescent="0.3">
      <c r="A396" s="2">
        <v>800108</v>
      </c>
      <c r="B396" s="10">
        <v>45609</v>
      </c>
      <c r="C396" s="2" t="s">
        <v>51</v>
      </c>
      <c r="D396" s="2" t="s">
        <v>106</v>
      </c>
      <c r="E396" s="2" t="s">
        <v>128</v>
      </c>
      <c r="F396" s="2" t="s">
        <v>46</v>
      </c>
      <c r="G396" s="2" t="s">
        <v>54</v>
      </c>
      <c r="H396" s="2" t="s">
        <v>25</v>
      </c>
      <c r="I396" s="2" t="s">
        <v>26</v>
      </c>
      <c r="J396" s="2" t="s">
        <v>127</v>
      </c>
      <c r="K396" s="2" t="s">
        <v>99</v>
      </c>
      <c r="L396" s="2" t="s">
        <v>50</v>
      </c>
      <c r="M396" s="2">
        <v>2</v>
      </c>
      <c r="N396" s="3">
        <v>650000</v>
      </c>
      <c r="O396" s="3">
        <v>644901.17000000004</v>
      </c>
      <c r="P396" s="4">
        <v>10</v>
      </c>
      <c r="Q396" s="2">
        <v>0</v>
      </c>
      <c r="R396" s="3">
        <v>1289802.3400000001</v>
      </c>
      <c r="S396" s="3">
        <v>128980.23</v>
      </c>
      <c r="T396" s="3">
        <v>1160822.1100000001</v>
      </c>
      <c r="U396" t="str">
        <f t="shared" si="6"/>
        <v>Not achive</v>
      </c>
    </row>
    <row r="397" spans="1:21" x14ac:dyDescent="0.3">
      <c r="A397" s="2">
        <v>800116</v>
      </c>
      <c r="B397" s="10">
        <v>45609</v>
      </c>
      <c r="C397" s="2" t="s">
        <v>20</v>
      </c>
      <c r="D397" s="2" t="s">
        <v>74</v>
      </c>
      <c r="E397" s="2" t="s">
        <v>113</v>
      </c>
      <c r="F397" s="2" t="s">
        <v>32</v>
      </c>
      <c r="G397" s="2" t="s">
        <v>42</v>
      </c>
      <c r="H397" s="2" t="s">
        <v>25</v>
      </c>
      <c r="I397" s="2" t="s">
        <v>26</v>
      </c>
      <c r="J397" s="2" t="s">
        <v>81</v>
      </c>
      <c r="K397" s="2" t="s">
        <v>82</v>
      </c>
      <c r="L397" s="2" t="s">
        <v>123</v>
      </c>
      <c r="M397" s="2">
        <v>3</v>
      </c>
      <c r="N397" s="3">
        <v>1700000</v>
      </c>
      <c r="O397" s="3">
        <v>1675871.81</v>
      </c>
      <c r="P397" s="4">
        <v>12.5</v>
      </c>
      <c r="Q397" s="2">
        <v>0</v>
      </c>
      <c r="R397" s="3">
        <v>5027615.43</v>
      </c>
      <c r="S397" s="3">
        <v>628451.93000000005</v>
      </c>
      <c r="T397" s="3">
        <v>4399163.5</v>
      </c>
      <c r="U397" t="str">
        <f t="shared" si="6"/>
        <v>Achive</v>
      </c>
    </row>
    <row r="398" spans="1:21" x14ac:dyDescent="0.3">
      <c r="A398" s="2">
        <v>800437</v>
      </c>
      <c r="B398" s="10">
        <v>45609</v>
      </c>
      <c r="C398" s="2" t="s">
        <v>20</v>
      </c>
      <c r="D398" s="2" t="s">
        <v>74</v>
      </c>
      <c r="E398" s="2" t="s">
        <v>113</v>
      </c>
      <c r="F398" s="2" t="s">
        <v>46</v>
      </c>
      <c r="G398" s="2" t="s">
        <v>24</v>
      </c>
      <c r="H398" s="2" t="s">
        <v>25</v>
      </c>
      <c r="I398" s="2" t="s">
        <v>26</v>
      </c>
      <c r="J398" s="2" t="s">
        <v>105</v>
      </c>
      <c r="K398" s="2" t="s">
        <v>82</v>
      </c>
      <c r="L398" s="2" t="s">
        <v>29</v>
      </c>
      <c r="M398" s="2">
        <v>2</v>
      </c>
      <c r="N398" s="3">
        <v>950000</v>
      </c>
      <c r="O398" s="3">
        <v>929539.63</v>
      </c>
      <c r="P398" s="4">
        <v>7.5</v>
      </c>
      <c r="Q398" s="2">
        <v>0</v>
      </c>
      <c r="R398" s="3">
        <v>1859079.26</v>
      </c>
      <c r="S398" s="3">
        <v>139430.94</v>
      </c>
      <c r="T398" s="3">
        <v>1719648.32</v>
      </c>
      <c r="U398" t="str">
        <f t="shared" si="6"/>
        <v>Not achive</v>
      </c>
    </row>
    <row r="399" spans="1:21" x14ac:dyDescent="0.3">
      <c r="A399" s="2">
        <v>800143</v>
      </c>
      <c r="B399" s="10">
        <v>45610</v>
      </c>
      <c r="C399" s="2" t="s">
        <v>51</v>
      </c>
      <c r="D399" s="2" t="s">
        <v>55</v>
      </c>
      <c r="E399" s="2" t="s">
        <v>137</v>
      </c>
      <c r="F399" s="2" t="s">
        <v>23</v>
      </c>
      <c r="G399" s="2" t="s">
        <v>90</v>
      </c>
      <c r="H399" s="2" t="s">
        <v>25</v>
      </c>
      <c r="I399" s="2" t="s">
        <v>67</v>
      </c>
      <c r="J399" s="2" t="s">
        <v>112</v>
      </c>
      <c r="K399" s="2" t="s">
        <v>99</v>
      </c>
      <c r="L399" s="2" t="s">
        <v>37</v>
      </c>
      <c r="M399" s="2">
        <v>1</v>
      </c>
      <c r="N399" s="3">
        <v>1250000</v>
      </c>
      <c r="O399" s="3">
        <v>1220164.8400000001</v>
      </c>
      <c r="P399" s="4">
        <v>0</v>
      </c>
      <c r="Q399" s="2">
        <v>0</v>
      </c>
      <c r="R399" s="3">
        <v>1220164.8400000001</v>
      </c>
      <c r="S399" s="3">
        <v>0</v>
      </c>
      <c r="T399" s="3">
        <v>1220164.8400000001</v>
      </c>
      <c r="U399" t="str">
        <f t="shared" si="6"/>
        <v>Not achive</v>
      </c>
    </row>
    <row r="400" spans="1:21" x14ac:dyDescent="0.3">
      <c r="A400" s="2">
        <v>800327</v>
      </c>
      <c r="B400" s="10">
        <v>45610</v>
      </c>
      <c r="C400" s="2" t="s">
        <v>38</v>
      </c>
      <c r="D400" s="2" t="s">
        <v>79</v>
      </c>
      <c r="E400" s="2" t="s">
        <v>80</v>
      </c>
      <c r="F400" s="2" t="s">
        <v>65</v>
      </c>
      <c r="G400" s="2" t="s">
        <v>116</v>
      </c>
      <c r="H400" s="2" t="s">
        <v>25</v>
      </c>
      <c r="I400" s="2" t="s">
        <v>67</v>
      </c>
      <c r="J400" s="2" t="s">
        <v>108</v>
      </c>
      <c r="K400" s="2" t="s">
        <v>89</v>
      </c>
      <c r="L400" s="2" t="s">
        <v>59</v>
      </c>
      <c r="M400" s="2">
        <v>3</v>
      </c>
      <c r="N400" s="3">
        <v>1800000</v>
      </c>
      <c r="O400" s="3">
        <v>1780077.38</v>
      </c>
      <c r="P400" s="4">
        <v>2</v>
      </c>
      <c r="Q400" s="2">
        <v>0</v>
      </c>
      <c r="R400" s="3">
        <v>5340232.1399999997</v>
      </c>
      <c r="S400" s="3">
        <v>106804.64</v>
      </c>
      <c r="T400" s="3">
        <v>5233427.5</v>
      </c>
      <c r="U400" t="str">
        <f t="shared" si="6"/>
        <v>Achive</v>
      </c>
    </row>
    <row r="401" spans="1:21" x14ac:dyDescent="0.3">
      <c r="A401" s="2">
        <v>800485</v>
      </c>
      <c r="B401" s="10">
        <v>45610</v>
      </c>
      <c r="C401" s="2" t="s">
        <v>38</v>
      </c>
      <c r="D401" s="2" t="s">
        <v>79</v>
      </c>
      <c r="E401" s="2" t="s">
        <v>133</v>
      </c>
      <c r="F401" s="2" t="s">
        <v>41</v>
      </c>
      <c r="G401" s="2" t="s">
        <v>33</v>
      </c>
      <c r="H401" s="2" t="s">
        <v>25</v>
      </c>
      <c r="I401" s="2" t="s">
        <v>43</v>
      </c>
      <c r="J401" s="2" t="s">
        <v>101</v>
      </c>
      <c r="K401" s="2" t="s">
        <v>102</v>
      </c>
      <c r="L401" s="2" t="s">
        <v>50</v>
      </c>
      <c r="M401" s="2">
        <v>5</v>
      </c>
      <c r="N401" s="3">
        <v>1000000</v>
      </c>
      <c r="O401" s="3">
        <v>999803.77</v>
      </c>
      <c r="P401" s="4">
        <v>7.5</v>
      </c>
      <c r="Q401" s="2">
        <v>0</v>
      </c>
      <c r="R401" s="3">
        <v>4999018.8499999996</v>
      </c>
      <c r="S401" s="3">
        <v>374926.41</v>
      </c>
      <c r="T401" s="3">
        <v>4624092.4400000004</v>
      </c>
      <c r="U401" t="str">
        <f t="shared" si="6"/>
        <v>Achive</v>
      </c>
    </row>
    <row r="402" spans="1:21" x14ac:dyDescent="0.3">
      <c r="A402" s="2">
        <v>800633</v>
      </c>
      <c r="B402" s="10">
        <v>45610</v>
      </c>
      <c r="C402" s="2" t="s">
        <v>69</v>
      </c>
      <c r="D402" s="2" t="s">
        <v>95</v>
      </c>
      <c r="E402" s="2" t="s">
        <v>135</v>
      </c>
      <c r="F402" s="2" t="s">
        <v>23</v>
      </c>
      <c r="G402" s="2" t="s">
        <v>100</v>
      </c>
      <c r="H402" s="2" t="s">
        <v>25</v>
      </c>
      <c r="I402" s="2" t="s">
        <v>26</v>
      </c>
      <c r="J402" s="2" t="s">
        <v>48</v>
      </c>
      <c r="K402" s="2" t="s">
        <v>89</v>
      </c>
      <c r="L402" s="2" t="s">
        <v>29</v>
      </c>
      <c r="M402" s="2">
        <v>1</v>
      </c>
      <c r="N402" s="3">
        <v>1200000</v>
      </c>
      <c r="O402" s="3">
        <v>1173966.33</v>
      </c>
      <c r="P402" s="4">
        <v>0</v>
      </c>
      <c r="Q402" s="2">
        <v>0</v>
      </c>
      <c r="R402" s="3">
        <v>1173966.33</v>
      </c>
      <c r="S402" s="3">
        <v>0</v>
      </c>
      <c r="T402" s="3">
        <v>1173966.33</v>
      </c>
      <c r="U402" t="str">
        <f t="shared" si="6"/>
        <v>Not achive</v>
      </c>
    </row>
    <row r="403" spans="1:21" x14ac:dyDescent="0.3">
      <c r="A403" s="2">
        <v>800076</v>
      </c>
      <c r="B403" s="10">
        <v>45611</v>
      </c>
      <c r="C403" s="2" t="s">
        <v>20</v>
      </c>
      <c r="D403" s="2" t="s">
        <v>74</v>
      </c>
      <c r="E403" s="2" t="s">
        <v>113</v>
      </c>
      <c r="F403" s="2" t="s">
        <v>41</v>
      </c>
      <c r="G403" s="2" t="s">
        <v>47</v>
      </c>
      <c r="H403" s="2" t="s">
        <v>25</v>
      </c>
      <c r="I403" s="2" t="s">
        <v>26</v>
      </c>
      <c r="J403" s="2" t="s">
        <v>120</v>
      </c>
      <c r="K403" s="2" t="s">
        <v>77</v>
      </c>
      <c r="L403" s="2" t="s">
        <v>92</v>
      </c>
      <c r="M403" s="2">
        <v>3</v>
      </c>
      <c r="N403" s="3">
        <v>1900000</v>
      </c>
      <c r="O403" s="3">
        <v>1937895.72</v>
      </c>
      <c r="P403" s="4">
        <v>12.5</v>
      </c>
      <c r="Q403" s="2">
        <v>0</v>
      </c>
      <c r="R403" s="3">
        <v>5813687.1600000001</v>
      </c>
      <c r="S403" s="3">
        <v>726710.9</v>
      </c>
      <c r="T403" s="3">
        <v>5086976.26</v>
      </c>
      <c r="U403" t="str">
        <f t="shared" si="6"/>
        <v>Achive</v>
      </c>
    </row>
    <row r="404" spans="1:21" x14ac:dyDescent="0.3">
      <c r="A404" s="2">
        <v>800266</v>
      </c>
      <c r="B404" s="10">
        <v>45611</v>
      </c>
      <c r="C404" s="2" t="s">
        <v>20</v>
      </c>
      <c r="D404" s="2" t="s">
        <v>30</v>
      </c>
      <c r="E404" s="2" t="s">
        <v>88</v>
      </c>
      <c r="F404" s="2" t="s">
        <v>23</v>
      </c>
      <c r="G404" s="2" t="s">
        <v>116</v>
      </c>
      <c r="H404" s="2" t="s">
        <v>25</v>
      </c>
      <c r="I404" s="2" t="s">
        <v>67</v>
      </c>
      <c r="J404" s="2" t="s">
        <v>85</v>
      </c>
      <c r="K404" s="2" t="s">
        <v>91</v>
      </c>
      <c r="L404" s="2" t="s">
        <v>87</v>
      </c>
      <c r="M404" s="2">
        <v>1</v>
      </c>
      <c r="N404" s="3">
        <v>1500000</v>
      </c>
      <c r="O404" s="3">
        <v>1481545.74</v>
      </c>
      <c r="P404" s="4">
        <v>0</v>
      </c>
      <c r="Q404" s="2">
        <v>0</v>
      </c>
      <c r="R404" s="3">
        <v>1481545.74</v>
      </c>
      <c r="S404" s="3">
        <v>0</v>
      </c>
      <c r="T404" s="3">
        <v>1481545.74</v>
      </c>
      <c r="U404" t="str">
        <f t="shared" si="6"/>
        <v>Not achive</v>
      </c>
    </row>
    <row r="405" spans="1:21" x14ac:dyDescent="0.3">
      <c r="A405" s="2">
        <v>800297</v>
      </c>
      <c r="B405" s="10">
        <v>45611</v>
      </c>
      <c r="C405" s="2" t="s">
        <v>69</v>
      </c>
      <c r="D405" s="2" t="s">
        <v>70</v>
      </c>
      <c r="E405" s="2" t="s">
        <v>93</v>
      </c>
      <c r="F405" s="2" t="s">
        <v>23</v>
      </c>
      <c r="G405" s="2" t="s">
        <v>94</v>
      </c>
      <c r="H405" s="2" t="s">
        <v>25</v>
      </c>
      <c r="I405" s="2" t="s">
        <v>67</v>
      </c>
      <c r="J405" s="2" t="s">
        <v>85</v>
      </c>
      <c r="K405" s="2" t="s">
        <v>91</v>
      </c>
      <c r="L405" s="2" t="s">
        <v>50</v>
      </c>
      <c r="M405" s="2">
        <v>3</v>
      </c>
      <c r="N405" s="3">
        <v>1500000</v>
      </c>
      <c r="O405" s="3">
        <v>1457292.24</v>
      </c>
      <c r="P405" s="4">
        <v>7.5</v>
      </c>
      <c r="Q405" s="2">
        <v>0</v>
      </c>
      <c r="R405" s="3">
        <v>4371876.72</v>
      </c>
      <c r="S405" s="3">
        <v>327890.75</v>
      </c>
      <c r="T405" s="3">
        <v>4043985.97</v>
      </c>
      <c r="U405" t="str">
        <f t="shared" si="6"/>
        <v>Achive</v>
      </c>
    </row>
    <row r="406" spans="1:21" x14ac:dyDescent="0.3">
      <c r="A406" s="2">
        <v>800288</v>
      </c>
      <c r="B406" s="10">
        <v>45612</v>
      </c>
      <c r="C406" s="2" t="s">
        <v>20</v>
      </c>
      <c r="D406" s="2" t="s">
        <v>74</v>
      </c>
      <c r="E406" s="2" t="s">
        <v>75</v>
      </c>
      <c r="F406" s="2" t="s">
        <v>23</v>
      </c>
      <c r="G406" s="2" t="s">
        <v>33</v>
      </c>
      <c r="H406" s="2" t="s">
        <v>25</v>
      </c>
      <c r="I406" s="2" t="s">
        <v>26</v>
      </c>
      <c r="J406" s="2" t="s">
        <v>127</v>
      </c>
      <c r="K406" s="2" t="s">
        <v>99</v>
      </c>
      <c r="L406" s="2" t="s">
        <v>92</v>
      </c>
      <c r="M406" s="2">
        <v>3</v>
      </c>
      <c r="N406" s="3">
        <v>650000</v>
      </c>
      <c r="O406" s="3">
        <v>656514.64</v>
      </c>
      <c r="P406" s="4">
        <v>0</v>
      </c>
      <c r="Q406" s="2">
        <v>0</v>
      </c>
      <c r="R406" s="3">
        <v>1969543.92</v>
      </c>
      <c r="S406" s="3">
        <v>0</v>
      </c>
      <c r="T406" s="3">
        <v>1969543.92</v>
      </c>
      <c r="U406" t="str">
        <f t="shared" si="6"/>
        <v>Not achive</v>
      </c>
    </row>
    <row r="407" spans="1:21" x14ac:dyDescent="0.3">
      <c r="A407" s="2">
        <v>800456</v>
      </c>
      <c r="B407" s="10">
        <v>45613</v>
      </c>
      <c r="C407" s="2" t="s">
        <v>69</v>
      </c>
      <c r="D407" s="2" t="s">
        <v>70</v>
      </c>
      <c r="E407" s="2" t="s">
        <v>71</v>
      </c>
      <c r="F407" s="2" t="s">
        <v>65</v>
      </c>
      <c r="G407" s="2" t="s">
        <v>24</v>
      </c>
      <c r="H407" s="2" t="s">
        <v>25</v>
      </c>
      <c r="I407" s="2" t="s">
        <v>26</v>
      </c>
      <c r="J407" s="2" t="s">
        <v>120</v>
      </c>
      <c r="K407" s="2" t="s">
        <v>121</v>
      </c>
      <c r="L407" s="2" t="s">
        <v>73</v>
      </c>
      <c r="M407" s="2">
        <v>3</v>
      </c>
      <c r="N407" s="3">
        <v>1900000</v>
      </c>
      <c r="O407" s="3">
        <v>1912659.92</v>
      </c>
      <c r="P407" s="4">
        <v>0</v>
      </c>
      <c r="Q407" s="2">
        <v>0</v>
      </c>
      <c r="R407" s="3">
        <v>5737979.7599999998</v>
      </c>
      <c r="S407" s="3">
        <v>0</v>
      </c>
      <c r="T407" s="3">
        <v>5737979.7599999998</v>
      </c>
      <c r="U407" t="str">
        <f t="shared" si="6"/>
        <v>Achive</v>
      </c>
    </row>
    <row r="408" spans="1:21" x14ac:dyDescent="0.3">
      <c r="A408" s="2">
        <v>800492</v>
      </c>
      <c r="B408" s="10">
        <v>45613</v>
      </c>
      <c r="C408" s="2" t="s">
        <v>51</v>
      </c>
      <c r="D408" s="2" t="s">
        <v>52</v>
      </c>
      <c r="E408" s="2" t="s">
        <v>132</v>
      </c>
      <c r="F408" s="2" t="s">
        <v>23</v>
      </c>
      <c r="G408" s="2" t="s">
        <v>33</v>
      </c>
      <c r="H408" s="2" t="s">
        <v>25</v>
      </c>
      <c r="I408" s="2" t="s">
        <v>67</v>
      </c>
      <c r="J408" s="2" t="s">
        <v>112</v>
      </c>
      <c r="K408" s="2" t="s">
        <v>99</v>
      </c>
      <c r="L408" s="2" t="s">
        <v>92</v>
      </c>
      <c r="M408" s="2">
        <v>1</v>
      </c>
      <c r="N408" s="3">
        <v>1250000</v>
      </c>
      <c r="O408" s="3">
        <v>1240899.6499999999</v>
      </c>
      <c r="P408" s="4">
        <v>10</v>
      </c>
      <c r="Q408" s="2">
        <v>0</v>
      </c>
      <c r="R408" s="3">
        <v>1240899.6499999999</v>
      </c>
      <c r="S408" s="3">
        <v>124089.96</v>
      </c>
      <c r="T408" s="3">
        <v>1116809.69</v>
      </c>
      <c r="U408" t="str">
        <f t="shared" si="6"/>
        <v>Not achive</v>
      </c>
    </row>
    <row r="409" spans="1:21" x14ac:dyDescent="0.3">
      <c r="A409" s="2">
        <v>800452</v>
      </c>
      <c r="B409" s="10">
        <v>45614</v>
      </c>
      <c r="C409" s="2" t="s">
        <v>20</v>
      </c>
      <c r="D409" s="2" t="s">
        <v>74</v>
      </c>
      <c r="E409" s="2" t="s">
        <v>75</v>
      </c>
      <c r="F409" s="2" t="s">
        <v>32</v>
      </c>
      <c r="G409" s="2" t="s">
        <v>33</v>
      </c>
      <c r="H409" s="2" t="s">
        <v>25</v>
      </c>
      <c r="I409" s="2" t="s">
        <v>43</v>
      </c>
      <c r="J409" s="2" t="s">
        <v>44</v>
      </c>
      <c r="K409" s="2" t="s">
        <v>129</v>
      </c>
      <c r="L409" s="2" t="s">
        <v>123</v>
      </c>
      <c r="M409" s="2">
        <v>4</v>
      </c>
      <c r="N409" s="3">
        <v>800000</v>
      </c>
      <c r="O409" s="3">
        <v>800460.19</v>
      </c>
      <c r="P409" s="4">
        <v>0</v>
      </c>
      <c r="Q409" s="2">
        <v>0</v>
      </c>
      <c r="R409" s="3">
        <v>3201840.76</v>
      </c>
      <c r="S409" s="3">
        <v>0</v>
      </c>
      <c r="T409" s="3">
        <v>3201840.76</v>
      </c>
      <c r="U409" t="str">
        <f t="shared" si="6"/>
        <v>Achive</v>
      </c>
    </row>
    <row r="410" spans="1:21" x14ac:dyDescent="0.3">
      <c r="A410" s="2">
        <v>800223</v>
      </c>
      <c r="B410" s="10">
        <v>45617</v>
      </c>
      <c r="C410" s="2" t="s">
        <v>20</v>
      </c>
      <c r="D410" s="2" t="s">
        <v>21</v>
      </c>
      <c r="E410" s="2" t="s">
        <v>22</v>
      </c>
      <c r="F410" s="2" t="s">
        <v>23</v>
      </c>
      <c r="G410" s="2" t="s">
        <v>94</v>
      </c>
      <c r="H410" s="2" t="s">
        <v>25</v>
      </c>
      <c r="I410" s="2" t="s">
        <v>26</v>
      </c>
      <c r="J410" s="2" t="s">
        <v>81</v>
      </c>
      <c r="K410" s="2" t="s">
        <v>77</v>
      </c>
      <c r="L410" s="2" t="s">
        <v>92</v>
      </c>
      <c r="M410" s="2">
        <v>2</v>
      </c>
      <c r="N410" s="3">
        <v>1700000</v>
      </c>
      <c r="O410" s="3">
        <v>1700961.22</v>
      </c>
      <c r="P410" s="4">
        <v>0</v>
      </c>
      <c r="Q410" s="2">
        <v>0</v>
      </c>
      <c r="R410" s="3">
        <v>3401922.44</v>
      </c>
      <c r="S410" s="3">
        <v>0</v>
      </c>
      <c r="T410" s="3">
        <v>3401922.44</v>
      </c>
      <c r="U410" t="str">
        <f t="shared" si="6"/>
        <v>Achive</v>
      </c>
    </row>
    <row r="411" spans="1:21" x14ac:dyDescent="0.3">
      <c r="A411" s="2">
        <v>800384</v>
      </c>
      <c r="B411" s="10">
        <v>45617</v>
      </c>
      <c r="C411" s="2" t="s">
        <v>38</v>
      </c>
      <c r="D411" s="2" t="s">
        <v>118</v>
      </c>
      <c r="E411" s="2" t="s">
        <v>119</v>
      </c>
      <c r="F411" s="2" t="s">
        <v>32</v>
      </c>
      <c r="G411" s="2" t="s">
        <v>47</v>
      </c>
      <c r="H411" s="2" t="s">
        <v>25</v>
      </c>
      <c r="I411" s="2" t="s">
        <v>43</v>
      </c>
      <c r="J411" s="2" t="s">
        <v>101</v>
      </c>
      <c r="K411" s="2" t="s">
        <v>102</v>
      </c>
      <c r="L411" s="2" t="s">
        <v>37</v>
      </c>
      <c r="M411" s="2">
        <v>4</v>
      </c>
      <c r="N411" s="3">
        <v>1000000</v>
      </c>
      <c r="O411" s="3">
        <v>998158.43</v>
      </c>
      <c r="P411" s="4">
        <v>2</v>
      </c>
      <c r="Q411" s="2">
        <v>0</v>
      </c>
      <c r="R411" s="3">
        <v>3992633.72</v>
      </c>
      <c r="S411" s="3">
        <v>79852.67</v>
      </c>
      <c r="T411" s="3">
        <v>3912781.05</v>
      </c>
      <c r="U411" t="str">
        <f t="shared" si="6"/>
        <v>Achive</v>
      </c>
    </row>
    <row r="412" spans="1:21" x14ac:dyDescent="0.3">
      <c r="A412" s="2">
        <v>800531</v>
      </c>
      <c r="B412" s="10">
        <v>45617</v>
      </c>
      <c r="C412" s="2" t="s">
        <v>38</v>
      </c>
      <c r="D412" s="2" t="s">
        <v>118</v>
      </c>
      <c r="E412" s="2" t="s">
        <v>119</v>
      </c>
      <c r="F412" s="2" t="s">
        <v>65</v>
      </c>
      <c r="G412" s="2" t="s">
        <v>100</v>
      </c>
      <c r="H412" s="2" t="s">
        <v>25</v>
      </c>
      <c r="I412" s="2" t="s">
        <v>26</v>
      </c>
      <c r="J412" s="2" t="s">
        <v>127</v>
      </c>
      <c r="K412" s="2" t="s">
        <v>99</v>
      </c>
      <c r="L412" s="2" t="s">
        <v>92</v>
      </c>
      <c r="M412" s="2">
        <v>1</v>
      </c>
      <c r="N412" s="3">
        <v>650000</v>
      </c>
      <c r="O412" s="3">
        <v>639619.64</v>
      </c>
      <c r="P412" s="4">
        <v>0</v>
      </c>
      <c r="Q412" s="2">
        <v>0</v>
      </c>
      <c r="R412" s="3">
        <v>639619.64</v>
      </c>
      <c r="S412" s="3">
        <v>0</v>
      </c>
      <c r="T412" s="3">
        <v>639619.64</v>
      </c>
      <c r="U412" t="str">
        <f t="shared" si="6"/>
        <v>Not achive</v>
      </c>
    </row>
    <row r="413" spans="1:21" x14ac:dyDescent="0.3">
      <c r="A413" s="2">
        <v>800429</v>
      </c>
      <c r="B413" s="10">
        <v>45618</v>
      </c>
      <c r="C413" s="2" t="s">
        <v>51</v>
      </c>
      <c r="D413" s="2" t="s">
        <v>55</v>
      </c>
      <c r="E413" s="2" t="s">
        <v>60</v>
      </c>
      <c r="F413" s="2" t="s">
        <v>46</v>
      </c>
      <c r="G413" s="2" t="s">
        <v>24</v>
      </c>
      <c r="H413" s="2" t="s">
        <v>25</v>
      </c>
      <c r="I413" s="2" t="s">
        <v>26</v>
      </c>
      <c r="J413" s="2" t="s">
        <v>127</v>
      </c>
      <c r="K413" s="2" t="s">
        <v>99</v>
      </c>
      <c r="L413" s="2" t="s">
        <v>78</v>
      </c>
      <c r="M413" s="2">
        <v>3</v>
      </c>
      <c r="N413" s="3">
        <v>650000</v>
      </c>
      <c r="O413" s="3">
        <v>647116.31999999995</v>
      </c>
      <c r="P413" s="4">
        <v>0</v>
      </c>
      <c r="Q413" s="2">
        <v>0</v>
      </c>
      <c r="R413" s="3">
        <v>1941348.96</v>
      </c>
      <c r="S413" s="3">
        <v>0</v>
      </c>
      <c r="T413" s="3">
        <v>1941348.96</v>
      </c>
      <c r="U413" t="str">
        <f t="shared" si="6"/>
        <v>Not achive</v>
      </c>
    </row>
    <row r="414" spans="1:21" x14ac:dyDescent="0.3">
      <c r="A414" s="2">
        <v>800410</v>
      </c>
      <c r="B414" s="10">
        <v>45620</v>
      </c>
      <c r="C414" s="2" t="s">
        <v>51</v>
      </c>
      <c r="D414" s="2" t="s">
        <v>52</v>
      </c>
      <c r="E414" s="2" t="s">
        <v>109</v>
      </c>
      <c r="F414" s="2" t="s">
        <v>46</v>
      </c>
      <c r="G414" s="2" t="s">
        <v>116</v>
      </c>
      <c r="H414" s="2" t="s">
        <v>25</v>
      </c>
      <c r="I414" s="2" t="s">
        <v>26</v>
      </c>
      <c r="J414" s="2" t="s">
        <v>48</v>
      </c>
      <c r="K414" s="2" t="s">
        <v>49</v>
      </c>
      <c r="L414" s="2" t="s">
        <v>123</v>
      </c>
      <c r="M414" s="2">
        <v>2</v>
      </c>
      <c r="N414" s="3">
        <v>1200000</v>
      </c>
      <c r="O414" s="3">
        <v>1182694.6000000001</v>
      </c>
      <c r="P414" s="4">
        <v>12.5</v>
      </c>
      <c r="Q414" s="2">
        <v>0</v>
      </c>
      <c r="R414" s="3">
        <v>2365389.2000000002</v>
      </c>
      <c r="S414" s="3">
        <v>295673.65000000002</v>
      </c>
      <c r="T414" s="3">
        <v>2069715.55</v>
      </c>
      <c r="U414" t="str">
        <f t="shared" si="6"/>
        <v>Achive</v>
      </c>
    </row>
    <row r="415" spans="1:21" x14ac:dyDescent="0.3">
      <c r="A415" s="2">
        <v>800501</v>
      </c>
      <c r="B415" s="10">
        <v>45620</v>
      </c>
      <c r="C415" s="2" t="s">
        <v>20</v>
      </c>
      <c r="D415" s="2" t="s">
        <v>21</v>
      </c>
      <c r="E415" s="2" t="s">
        <v>22</v>
      </c>
      <c r="F415" s="2" t="s">
        <v>46</v>
      </c>
      <c r="G415" s="2" t="s">
        <v>90</v>
      </c>
      <c r="H415" s="2" t="s">
        <v>25</v>
      </c>
      <c r="I415" s="2" t="s">
        <v>67</v>
      </c>
      <c r="J415" s="2" t="s">
        <v>112</v>
      </c>
      <c r="K415" s="2" t="s">
        <v>99</v>
      </c>
      <c r="L415" s="2" t="s">
        <v>29</v>
      </c>
      <c r="M415" s="2">
        <v>3</v>
      </c>
      <c r="N415" s="3">
        <v>1250000</v>
      </c>
      <c r="O415" s="3">
        <v>1229024.72</v>
      </c>
      <c r="P415" s="4">
        <v>0</v>
      </c>
      <c r="Q415" s="2">
        <v>0</v>
      </c>
      <c r="R415" s="3">
        <v>3687074.16</v>
      </c>
      <c r="S415" s="3">
        <v>0</v>
      </c>
      <c r="T415" s="3">
        <v>3687074.16</v>
      </c>
      <c r="U415" t="str">
        <f t="shared" si="6"/>
        <v>Achive</v>
      </c>
    </row>
    <row r="416" spans="1:21" x14ac:dyDescent="0.3">
      <c r="A416" s="2">
        <v>800536</v>
      </c>
      <c r="B416" s="10">
        <v>45620</v>
      </c>
      <c r="C416" s="2" t="s">
        <v>38</v>
      </c>
      <c r="D416" s="2" t="s">
        <v>118</v>
      </c>
      <c r="E416" s="2" t="s">
        <v>119</v>
      </c>
      <c r="F416" s="2" t="s">
        <v>41</v>
      </c>
      <c r="G416" s="2" t="s">
        <v>116</v>
      </c>
      <c r="H416" s="2" t="s">
        <v>25</v>
      </c>
      <c r="I416" s="2" t="s">
        <v>26</v>
      </c>
      <c r="J416" s="2" t="s">
        <v>48</v>
      </c>
      <c r="K416" s="2" t="s">
        <v>62</v>
      </c>
      <c r="L416" s="2" t="s">
        <v>78</v>
      </c>
      <c r="M416" s="2">
        <v>1</v>
      </c>
      <c r="N416" s="3">
        <v>1200000</v>
      </c>
      <c r="O416" s="3">
        <v>1206198.27</v>
      </c>
      <c r="P416" s="4">
        <v>0</v>
      </c>
      <c r="Q416" s="2">
        <v>0</v>
      </c>
      <c r="R416" s="3">
        <v>1206198.27</v>
      </c>
      <c r="S416" s="3">
        <v>0</v>
      </c>
      <c r="T416" s="3">
        <v>1206198.27</v>
      </c>
      <c r="U416" t="str">
        <f t="shared" si="6"/>
        <v>Not achive</v>
      </c>
    </row>
    <row r="417" spans="1:21" x14ac:dyDescent="0.3">
      <c r="A417" s="2">
        <v>800046</v>
      </c>
      <c r="B417" s="10">
        <v>45622</v>
      </c>
      <c r="C417" s="2" t="s">
        <v>20</v>
      </c>
      <c r="D417" s="2" t="s">
        <v>30</v>
      </c>
      <c r="E417" s="2" t="s">
        <v>31</v>
      </c>
      <c r="F417" s="2" t="s">
        <v>23</v>
      </c>
      <c r="G417" s="2" t="s">
        <v>90</v>
      </c>
      <c r="H417" s="2" t="s">
        <v>25</v>
      </c>
      <c r="I417" s="2" t="s">
        <v>67</v>
      </c>
      <c r="J417" s="2" t="s">
        <v>68</v>
      </c>
      <c r="K417" s="2" t="s">
        <v>117</v>
      </c>
      <c r="L417" s="2" t="s">
        <v>37</v>
      </c>
      <c r="M417" s="2">
        <v>1</v>
      </c>
      <c r="N417" s="3">
        <v>1200000</v>
      </c>
      <c r="O417" s="3">
        <v>1187331.43</v>
      </c>
      <c r="P417" s="4">
        <v>10</v>
      </c>
      <c r="Q417" s="2">
        <v>0</v>
      </c>
      <c r="R417" s="3">
        <v>1187331.43</v>
      </c>
      <c r="S417" s="3">
        <v>118733.14</v>
      </c>
      <c r="T417" s="3">
        <v>1068598.29</v>
      </c>
      <c r="U417" t="str">
        <f t="shared" si="6"/>
        <v>Not achive</v>
      </c>
    </row>
    <row r="418" spans="1:21" x14ac:dyDescent="0.3">
      <c r="A418" s="2">
        <v>800172</v>
      </c>
      <c r="B418" s="10">
        <v>45622</v>
      </c>
      <c r="C418" s="2" t="s">
        <v>38</v>
      </c>
      <c r="D418" s="2" t="s">
        <v>39</v>
      </c>
      <c r="E418" s="2" t="s">
        <v>40</v>
      </c>
      <c r="F418" s="2" t="s">
        <v>65</v>
      </c>
      <c r="G418" s="2" t="s">
        <v>66</v>
      </c>
      <c r="H418" s="2" t="s">
        <v>25</v>
      </c>
      <c r="I418" s="2" t="s">
        <v>26</v>
      </c>
      <c r="J418" s="2" t="s">
        <v>81</v>
      </c>
      <c r="K418" s="2" t="s">
        <v>82</v>
      </c>
      <c r="L418" s="2" t="s">
        <v>59</v>
      </c>
      <c r="M418" s="2">
        <v>2</v>
      </c>
      <c r="N418" s="3">
        <v>1700000</v>
      </c>
      <c r="O418" s="3">
        <v>1724587.1</v>
      </c>
      <c r="P418" s="4">
        <v>0</v>
      </c>
      <c r="Q418" s="2">
        <v>0</v>
      </c>
      <c r="R418" s="3">
        <v>3449174.2</v>
      </c>
      <c r="S418" s="3">
        <v>0</v>
      </c>
      <c r="T418" s="3">
        <v>3449174.2</v>
      </c>
      <c r="U418" t="str">
        <f t="shared" si="6"/>
        <v>Achive</v>
      </c>
    </row>
    <row r="419" spans="1:21" x14ac:dyDescent="0.3">
      <c r="A419" s="2">
        <v>800507</v>
      </c>
      <c r="B419" s="10">
        <v>45622</v>
      </c>
      <c r="C419" s="2" t="s">
        <v>51</v>
      </c>
      <c r="D419" s="2" t="s">
        <v>106</v>
      </c>
      <c r="E419" s="2" t="s">
        <v>128</v>
      </c>
      <c r="F419" s="2" t="s">
        <v>32</v>
      </c>
      <c r="G419" s="2" t="s">
        <v>100</v>
      </c>
      <c r="H419" s="2" t="s">
        <v>25</v>
      </c>
      <c r="I419" s="2" t="s">
        <v>67</v>
      </c>
      <c r="J419" s="2" t="s">
        <v>85</v>
      </c>
      <c r="K419" s="2" t="s">
        <v>91</v>
      </c>
      <c r="L419" s="2" t="s">
        <v>92</v>
      </c>
      <c r="M419" s="2">
        <v>1</v>
      </c>
      <c r="N419" s="3">
        <v>1500000</v>
      </c>
      <c r="O419" s="3">
        <v>1522200.12</v>
      </c>
      <c r="P419" s="4">
        <v>0</v>
      </c>
      <c r="Q419" s="2">
        <v>0</v>
      </c>
      <c r="R419" s="3">
        <v>1522200.12</v>
      </c>
      <c r="S419" s="3">
        <v>0</v>
      </c>
      <c r="T419" s="3">
        <v>1522200.12</v>
      </c>
      <c r="U419" t="str">
        <f t="shared" si="6"/>
        <v>Not achive</v>
      </c>
    </row>
    <row r="420" spans="1:21" x14ac:dyDescent="0.3">
      <c r="A420" s="2">
        <v>800613</v>
      </c>
      <c r="B420" s="10">
        <v>45622</v>
      </c>
      <c r="C420" s="2" t="s">
        <v>20</v>
      </c>
      <c r="D420" s="2" t="s">
        <v>74</v>
      </c>
      <c r="E420" s="2" t="s">
        <v>113</v>
      </c>
      <c r="F420" s="2" t="s">
        <v>65</v>
      </c>
      <c r="G420" s="2" t="s">
        <v>100</v>
      </c>
      <c r="H420" s="2" t="s">
        <v>25</v>
      </c>
      <c r="I420" s="2" t="s">
        <v>43</v>
      </c>
      <c r="J420" s="2" t="s">
        <v>101</v>
      </c>
      <c r="K420" s="2" t="s">
        <v>45</v>
      </c>
      <c r="L420" s="2" t="s">
        <v>92</v>
      </c>
      <c r="M420" s="2">
        <v>2</v>
      </c>
      <c r="N420" s="3">
        <v>1000000</v>
      </c>
      <c r="O420" s="3">
        <v>983014.58</v>
      </c>
      <c r="P420" s="4">
        <v>12.5</v>
      </c>
      <c r="Q420" s="2">
        <v>0</v>
      </c>
      <c r="R420" s="3">
        <v>1966029.16</v>
      </c>
      <c r="S420" s="3">
        <v>245753.64</v>
      </c>
      <c r="T420" s="3">
        <v>1720275.52</v>
      </c>
      <c r="U420" t="str">
        <f t="shared" si="6"/>
        <v>Not achive</v>
      </c>
    </row>
    <row r="421" spans="1:21" x14ac:dyDescent="0.3">
      <c r="A421" s="2">
        <v>800616</v>
      </c>
      <c r="B421" s="10">
        <v>45622</v>
      </c>
      <c r="C421" s="2" t="s">
        <v>69</v>
      </c>
      <c r="D421" s="2" t="s">
        <v>83</v>
      </c>
      <c r="E421" s="2" t="s">
        <v>84</v>
      </c>
      <c r="F421" s="2" t="s">
        <v>41</v>
      </c>
      <c r="G421" s="2" t="s">
        <v>90</v>
      </c>
      <c r="H421" s="2" t="s">
        <v>25</v>
      </c>
      <c r="I421" s="2" t="s">
        <v>26</v>
      </c>
      <c r="J421" s="2" t="s">
        <v>57</v>
      </c>
      <c r="K421" s="2" t="s">
        <v>58</v>
      </c>
      <c r="L421" s="2" t="s">
        <v>122</v>
      </c>
      <c r="M421" s="2">
        <v>1</v>
      </c>
      <c r="N421" s="3">
        <v>800000</v>
      </c>
      <c r="O421" s="3">
        <v>777434.49</v>
      </c>
      <c r="P421" s="4">
        <v>5</v>
      </c>
      <c r="Q421" s="2">
        <v>0</v>
      </c>
      <c r="R421" s="3">
        <v>777434.49</v>
      </c>
      <c r="S421" s="3">
        <v>38871.72</v>
      </c>
      <c r="T421" s="3">
        <v>738562.77</v>
      </c>
      <c r="U421" t="str">
        <f t="shared" si="6"/>
        <v>Not achive</v>
      </c>
    </row>
    <row r="422" spans="1:21" x14ac:dyDescent="0.3">
      <c r="A422" s="2">
        <v>800125</v>
      </c>
      <c r="B422" s="10">
        <v>45623</v>
      </c>
      <c r="C422" s="2" t="s">
        <v>20</v>
      </c>
      <c r="D422" s="2" t="s">
        <v>74</v>
      </c>
      <c r="E422" s="2" t="s">
        <v>75</v>
      </c>
      <c r="F422" s="2" t="s">
        <v>23</v>
      </c>
      <c r="G422" s="2" t="s">
        <v>54</v>
      </c>
      <c r="H422" s="2" t="s">
        <v>25</v>
      </c>
      <c r="I422" s="2" t="s">
        <v>67</v>
      </c>
      <c r="J422" s="2" t="s">
        <v>68</v>
      </c>
      <c r="K422" s="2" t="s">
        <v>91</v>
      </c>
      <c r="L422" s="2" t="s">
        <v>37</v>
      </c>
      <c r="M422" s="2">
        <v>1</v>
      </c>
      <c r="N422" s="3">
        <v>1200000</v>
      </c>
      <c r="O422" s="3">
        <v>1196040.67</v>
      </c>
      <c r="P422" s="4">
        <v>5</v>
      </c>
      <c r="Q422" s="2">
        <v>0</v>
      </c>
      <c r="R422" s="3">
        <v>1196040.67</v>
      </c>
      <c r="S422" s="3">
        <v>59802.03</v>
      </c>
      <c r="T422" s="3">
        <v>1136238.6399999999</v>
      </c>
      <c r="U422" t="str">
        <f t="shared" si="6"/>
        <v>Not achive</v>
      </c>
    </row>
    <row r="423" spans="1:21" x14ac:dyDescent="0.3">
      <c r="A423" s="2">
        <v>800193</v>
      </c>
      <c r="B423" s="10">
        <v>45623</v>
      </c>
      <c r="C423" s="2" t="s">
        <v>38</v>
      </c>
      <c r="D423" s="2" t="s">
        <v>118</v>
      </c>
      <c r="E423" s="2" t="s">
        <v>125</v>
      </c>
      <c r="F423" s="2" t="s">
        <v>23</v>
      </c>
      <c r="G423" s="2" t="s">
        <v>94</v>
      </c>
      <c r="H423" s="2" t="s">
        <v>25</v>
      </c>
      <c r="I423" s="2" t="s">
        <v>26</v>
      </c>
      <c r="J423" s="2" t="s">
        <v>81</v>
      </c>
      <c r="K423" s="2" t="s">
        <v>77</v>
      </c>
      <c r="L423" s="2" t="s">
        <v>78</v>
      </c>
      <c r="M423" s="2">
        <v>2</v>
      </c>
      <c r="N423" s="3">
        <v>1700000</v>
      </c>
      <c r="O423" s="3">
        <v>1679569.79</v>
      </c>
      <c r="P423" s="4">
        <v>12.5</v>
      </c>
      <c r="Q423" s="2">
        <v>0</v>
      </c>
      <c r="R423" s="3">
        <v>3359139.58</v>
      </c>
      <c r="S423" s="3">
        <v>419892.45</v>
      </c>
      <c r="T423" s="3">
        <v>2939247.13</v>
      </c>
      <c r="U423" t="str">
        <f t="shared" si="6"/>
        <v>Achive</v>
      </c>
    </row>
    <row r="424" spans="1:21" x14ac:dyDescent="0.3">
      <c r="A424" s="2">
        <v>800405</v>
      </c>
      <c r="B424" s="10">
        <v>45623</v>
      </c>
      <c r="C424" s="2" t="s">
        <v>20</v>
      </c>
      <c r="D424" s="2" t="s">
        <v>74</v>
      </c>
      <c r="E424" s="2" t="s">
        <v>113</v>
      </c>
      <c r="F424" s="2" t="s">
        <v>23</v>
      </c>
      <c r="G424" s="2" t="s">
        <v>47</v>
      </c>
      <c r="H424" s="2" t="s">
        <v>25</v>
      </c>
      <c r="I424" s="2" t="s">
        <v>26</v>
      </c>
      <c r="J424" s="2" t="s">
        <v>57</v>
      </c>
      <c r="K424" s="2" t="s">
        <v>103</v>
      </c>
      <c r="L424" s="2" t="s">
        <v>29</v>
      </c>
      <c r="M424" s="2">
        <v>1</v>
      </c>
      <c r="N424" s="3">
        <v>800000</v>
      </c>
      <c r="O424" s="3">
        <v>796932.65</v>
      </c>
      <c r="P424" s="4">
        <v>0</v>
      </c>
      <c r="Q424" s="2">
        <v>0</v>
      </c>
      <c r="R424" s="3">
        <v>796932.65</v>
      </c>
      <c r="S424" s="3">
        <v>0</v>
      </c>
      <c r="T424" s="3">
        <v>796932.65</v>
      </c>
      <c r="U424" t="str">
        <f t="shared" si="6"/>
        <v>Not achive</v>
      </c>
    </row>
    <row r="425" spans="1:21" x14ac:dyDescent="0.3">
      <c r="A425" s="2">
        <v>800269</v>
      </c>
      <c r="B425" s="10">
        <v>45624</v>
      </c>
      <c r="C425" s="2" t="s">
        <v>38</v>
      </c>
      <c r="D425" s="2" t="s">
        <v>118</v>
      </c>
      <c r="E425" s="2" t="s">
        <v>125</v>
      </c>
      <c r="F425" s="2" t="s">
        <v>65</v>
      </c>
      <c r="G425" s="2" t="s">
        <v>100</v>
      </c>
      <c r="H425" s="2" t="s">
        <v>25</v>
      </c>
      <c r="I425" s="2" t="s">
        <v>26</v>
      </c>
      <c r="J425" s="2" t="s">
        <v>127</v>
      </c>
      <c r="K425" s="2" t="s">
        <v>130</v>
      </c>
      <c r="L425" s="2" t="s">
        <v>92</v>
      </c>
      <c r="M425" s="2">
        <v>1</v>
      </c>
      <c r="N425" s="3">
        <v>650000</v>
      </c>
      <c r="O425" s="3">
        <v>631452.36</v>
      </c>
      <c r="P425" s="4">
        <v>5</v>
      </c>
      <c r="Q425" s="2">
        <v>0</v>
      </c>
      <c r="R425" s="3">
        <v>631452.36</v>
      </c>
      <c r="S425" s="3">
        <v>31572.62</v>
      </c>
      <c r="T425" s="3">
        <v>599879.74</v>
      </c>
      <c r="U425" t="str">
        <f t="shared" si="6"/>
        <v>Not achive</v>
      </c>
    </row>
    <row r="426" spans="1:21" x14ac:dyDescent="0.3">
      <c r="A426" s="2">
        <v>800049</v>
      </c>
      <c r="B426" s="10">
        <v>45625</v>
      </c>
      <c r="C426" s="2" t="s">
        <v>51</v>
      </c>
      <c r="D426" s="2" t="s">
        <v>55</v>
      </c>
      <c r="E426" s="2" t="s">
        <v>60</v>
      </c>
      <c r="F426" s="2" t="s">
        <v>41</v>
      </c>
      <c r="G426" s="2" t="s">
        <v>42</v>
      </c>
      <c r="H426" s="2" t="s">
        <v>25</v>
      </c>
      <c r="I426" s="2" t="s">
        <v>26</v>
      </c>
      <c r="J426" s="2" t="s">
        <v>127</v>
      </c>
      <c r="K426" s="2" t="s">
        <v>58</v>
      </c>
      <c r="L426" s="2" t="s">
        <v>122</v>
      </c>
      <c r="M426" s="2">
        <v>1</v>
      </c>
      <c r="N426" s="3">
        <v>650000</v>
      </c>
      <c r="O426" s="3">
        <v>657774.93999999994</v>
      </c>
      <c r="P426" s="4">
        <v>0</v>
      </c>
      <c r="Q426" s="2">
        <v>0</v>
      </c>
      <c r="R426" s="3">
        <v>657774.93999999994</v>
      </c>
      <c r="S426" s="3">
        <v>0</v>
      </c>
      <c r="T426" s="3">
        <v>657774.93999999994</v>
      </c>
      <c r="U426" t="str">
        <f t="shared" si="6"/>
        <v>Not achive</v>
      </c>
    </row>
    <row r="427" spans="1:21" x14ac:dyDescent="0.3">
      <c r="A427" s="2">
        <v>800169</v>
      </c>
      <c r="B427" s="10">
        <v>45626</v>
      </c>
      <c r="C427" s="2" t="s">
        <v>51</v>
      </c>
      <c r="D427" s="2" t="s">
        <v>110</v>
      </c>
      <c r="E427" s="2" t="s">
        <v>124</v>
      </c>
      <c r="F427" s="2" t="s">
        <v>23</v>
      </c>
      <c r="G427" s="2" t="s">
        <v>61</v>
      </c>
      <c r="H427" s="2" t="s">
        <v>25</v>
      </c>
      <c r="I427" s="2" t="s">
        <v>26</v>
      </c>
      <c r="J427" s="2" t="s">
        <v>81</v>
      </c>
      <c r="K427" s="2" t="s">
        <v>49</v>
      </c>
      <c r="L427" s="2" t="s">
        <v>29</v>
      </c>
      <c r="M427" s="2">
        <v>3</v>
      </c>
      <c r="N427" s="3">
        <v>1700000</v>
      </c>
      <c r="O427" s="3">
        <v>1732122.41</v>
      </c>
      <c r="P427" s="4">
        <v>0</v>
      </c>
      <c r="Q427" s="2">
        <v>0</v>
      </c>
      <c r="R427" s="3">
        <v>5196367.2300000004</v>
      </c>
      <c r="S427" s="3">
        <v>0</v>
      </c>
      <c r="T427" s="3">
        <v>5196367.2300000004</v>
      </c>
      <c r="U427" t="str">
        <f t="shared" si="6"/>
        <v>Achive</v>
      </c>
    </row>
    <row r="428" spans="1:21" x14ac:dyDescent="0.3">
      <c r="A428" s="2">
        <v>800598</v>
      </c>
      <c r="B428" s="10">
        <v>45626</v>
      </c>
      <c r="C428" s="2" t="s">
        <v>20</v>
      </c>
      <c r="D428" s="2" t="s">
        <v>74</v>
      </c>
      <c r="E428" s="2" t="s">
        <v>113</v>
      </c>
      <c r="F428" s="2" t="s">
        <v>32</v>
      </c>
      <c r="G428" s="2" t="s">
        <v>116</v>
      </c>
      <c r="H428" s="2" t="s">
        <v>25</v>
      </c>
      <c r="I428" s="2" t="s">
        <v>26</v>
      </c>
      <c r="J428" s="2" t="s">
        <v>48</v>
      </c>
      <c r="K428" s="2" t="s">
        <v>62</v>
      </c>
      <c r="L428" s="2" t="s">
        <v>123</v>
      </c>
      <c r="M428" s="2">
        <v>3</v>
      </c>
      <c r="N428" s="3">
        <v>1200000</v>
      </c>
      <c r="O428" s="3">
        <v>1220922.6499999999</v>
      </c>
      <c r="P428" s="4">
        <v>7.5</v>
      </c>
      <c r="Q428" s="2">
        <v>0</v>
      </c>
      <c r="R428" s="3">
        <v>3662767.95</v>
      </c>
      <c r="S428" s="3">
        <v>274707.59999999998</v>
      </c>
      <c r="T428" s="3">
        <v>3388060.35</v>
      </c>
      <c r="U428" t="str">
        <f t="shared" si="6"/>
        <v>Achive</v>
      </c>
    </row>
    <row r="429" spans="1:21" x14ac:dyDescent="0.3">
      <c r="A429" s="2">
        <v>800174</v>
      </c>
      <c r="B429" s="10">
        <v>45627</v>
      </c>
      <c r="C429" s="2" t="s">
        <v>69</v>
      </c>
      <c r="D429" s="2" t="s">
        <v>95</v>
      </c>
      <c r="E429" s="2" t="s">
        <v>96</v>
      </c>
      <c r="F429" s="2" t="s">
        <v>23</v>
      </c>
      <c r="G429" s="2" t="s">
        <v>72</v>
      </c>
      <c r="H429" s="2" t="s">
        <v>25</v>
      </c>
      <c r="I429" s="2" t="s">
        <v>67</v>
      </c>
      <c r="J429" s="2" t="s">
        <v>108</v>
      </c>
      <c r="K429" s="2" t="s">
        <v>62</v>
      </c>
      <c r="L429" s="2" t="s">
        <v>50</v>
      </c>
      <c r="M429" s="2">
        <v>2</v>
      </c>
      <c r="N429" s="3">
        <v>1800000</v>
      </c>
      <c r="O429" s="3">
        <v>1806233.03</v>
      </c>
      <c r="P429" s="4">
        <v>0</v>
      </c>
      <c r="Q429" s="2">
        <v>0</v>
      </c>
      <c r="R429" s="3">
        <v>3612466.06</v>
      </c>
      <c r="S429" s="3">
        <v>0</v>
      </c>
      <c r="T429" s="3">
        <v>3612466.06</v>
      </c>
      <c r="U429" t="str">
        <f t="shared" si="6"/>
        <v>Achive</v>
      </c>
    </row>
    <row r="430" spans="1:21" x14ac:dyDescent="0.3">
      <c r="A430" s="2">
        <v>800099</v>
      </c>
      <c r="B430" s="10">
        <v>45628</v>
      </c>
      <c r="C430" s="2" t="s">
        <v>51</v>
      </c>
      <c r="D430" s="2" t="s">
        <v>110</v>
      </c>
      <c r="E430" s="2" t="s">
        <v>111</v>
      </c>
      <c r="F430" s="2" t="s">
        <v>46</v>
      </c>
      <c r="G430" s="2" t="s">
        <v>54</v>
      </c>
      <c r="H430" s="2" t="s">
        <v>25</v>
      </c>
      <c r="I430" s="2" t="s">
        <v>26</v>
      </c>
      <c r="J430" s="2" t="s">
        <v>127</v>
      </c>
      <c r="K430" s="2" t="s">
        <v>99</v>
      </c>
      <c r="L430" s="2" t="s">
        <v>59</v>
      </c>
      <c r="M430" s="2">
        <v>2</v>
      </c>
      <c r="N430" s="3">
        <v>650000</v>
      </c>
      <c r="O430" s="3">
        <v>645386.38</v>
      </c>
      <c r="P430" s="4">
        <v>0</v>
      </c>
      <c r="Q430" s="2">
        <v>0</v>
      </c>
      <c r="R430" s="3">
        <v>1290772.76</v>
      </c>
      <c r="S430" s="3">
        <v>0</v>
      </c>
      <c r="T430" s="3">
        <v>1290772.76</v>
      </c>
      <c r="U430" t="str">
        <f t="shared" si="6"/>
        <v>Not achive</v>
      </c>
    </row>
    <row r="431" spans="1:21" x14ac:dyDescent="0.3">
      <c r="A431" s="2">
        <v>800362</v>
      </c>
      <c r="B431" s="10">
        <v>45630</v>
      </c>
      <c r="C431" s="2" t="s">
        <v>69</v>
      </c>
      <c r="D431" s="2" t="s">
        <v>83</v>
      </c>
      <c r="E431" s="2" t="s">
        <v>97</v>
      </c>
      <c r="F431" s="2" t="s">
        <v>23</v>
      </c>
      <c r="G431" s="2" t="s">
        <v>100</v>
      </c>
      <c r="H431" s="2" t="s">
        <v>25</v>
      </c>
      <c r="I431" s="2" t="s">
        <v>26</v>
      </c>
      <c r="J431" s="2" t="s">
        <v>57</v>
      </c>
      <c r="K431" s="2" t="s">
        <v>99</v>
      </c>
      <c r="L431" s="2" t="s">
        <v>92</v>
      </c>
      <c r="M431" s="2">
        <v>3</v>
      </c>
      <c r="N431" s="3">
        <v>800000</v>
      </c>
      <c r="O431" s="3">
        <v>810887.81</v>
      </c>
      <c r="P431" s="4">
        <v>0</v>
      </c>
      <c r="Q431" s="2">
        <v>0</v>
      </c>
      <c r="R431" s="3">
        <v>2432663.4300000002</v>
      </c>
      <c r="S431" s="3">
        <v>0</v>
      </c>
      <c r="T431" s="3">
        <v>2432663.4300000002</v>
      </c>
      <c r="U431" t="str">
        <f t="shared" si="6"/>
        <v>Achive</v>
      </c>
    </row>
    <row r="432" spans="1:21" x14ac:dyDescent="0.3">
      <c r="A432" s="2">
        <v>800268</v>
      </c>
      <c r="B432" s="10">
        <v>45631</v>
      </c>
      <c r="C432" s="2" t="s">
        <v>20</v>
      </c>
      <c r="D432" s="2" t="s">
        <v>21</v>
      </c>
      <c r="E432" s="2" t="s">
        <v>22</v>
      </c>
      <c r="F432" s="2" t="s">
        <v>46</v>
      </c>
      <c r="G432" s="2" t="s">
        <v>42</v>
      </c>
      <c r="H432" s="2" t="s">
        <v>25</v>
      </c>
      <c r="I432" s="2" t="s">
        <v>43</v>
      </c>
      <c r="J432" s="2" t="s">
        <v>101</v>
      </c>
      <c r="K432" s="2" t="s">
        <v>45</v>
      </c>
      <c r="L432" s="2" t="s">
        <v>59</v>
      </c>
      <c r="M432" s="2">
        <v>1</v>
      </c>
      <c r="N432" s="3">
        <v>1000000</v>
      </c>
      <c r="O432" s="3">
        <v>1019470.18</v>
      </c>
      <c r="P432" s="4">
        <v>7.5</v>
      </c>
      <c r="Q432" s="2">
        <v>0</v>
      </c>
      <c r="R432" s="3">
        <v>1019470.18</v>
      </c>
      <c r="S432" s="3">
        <v>76460.259999999995</v>
      </c>
      <c r="T432" s="3">
        <v>943009.92</v>
      </c>
      <c r="U432" t="str">
        <f t="shared" si="6"/>
        <v>Not achive</v>
      </c>
    </row>
    <row r="433" spans="1:21" x14ac:dyDescent="0.3">
      <c r="A433" s="2">
        <v>800442</v>
      </c>
      <c r="B433" s="10">
        <v>45631</v>
      </c>
      <c r="C433" s="2" t="s">
        <v>38</v>
      </c>
      <c r="D433" s="2" t="s">
        <v>118</v>
      </c>
      <c r="E433" s="2" t="s">
        <v>119</v>
      </c>
      <c r="F433" s="2" t="s">
        <v>41</v>
      </c>
      <c r="G433" s="2" t="s">
        <v>47</v>
      </c>
      <c r="H433" s="2" t="s">
        <v>25</v>
      </c>
      <c r="I433" s="2" t="s">
        <v>43</v>
      </c>
      <c r="J433" s="2" t="s">
        <v>44</v>
      </c>
      <c r="K433" s="2" t="s">
        <v>129</v>
      </c>
      <c r="L433" s="2" t="s">
        <v>122</v>
      </c>
      <c r="M433" s="2">
        <v>4</v>
      </c>
      <c r="N433" s="3">
        <v>800000</v>
      </c>
      <c r="O433" s="3">
        <v>796341.61</v>
      </c>
      <c r="P433" s="4">
        <v>0</v>
      </c>
      <c r="Q433" s="2">
        <v>0</v>
      </c>
      <c r="R433" s="3">
        <v>3185366.44</v>
      </c>
      <c r="S433" s="3">
        <v>0</v>
      </c>
      <c r="T433" s="3">
        <v>3185366.44</v>
      </c>
      <c r="U433" t="str">
        <f t="shared" si="6"/>
        <v>Achive</v>
      </c>
    </row>
    <row r="434" spans="1:21" x14ac:dyDescent="0.3">
      <c r="A434" s="2">
        <v>800308</v>
      </c>
      <c r="B434" s="10">
        <v>45632</v>
      </c>
      <c r="C434" s="2" t="s">
        <v>51</v>
      </c>
      <c r="D434" s="2" t="s">
        <v>52</v>
      </c>
      <c r="E434" s="2" t="s">
        <v>53</v>
      </c>
      <c r="F434" s="2" t="s">
        <v>46</v>
      </c>
      <c r="G434" s="2" t="s">
        <v>24</v>
      </c>
      <c r="H434" s="2" t="s">
        <v>25</v>
      </c>
      <c r="I434" s="2" t="s">
        <v>67</v>
      </c>
      <c r="J434" s="2" t="s">
        <v>85</v>
      </c>
      <c r="K434" s="2" t="s">
        <v>91</v>
      </c>
      <c r="L434" s="2" t="s">
        <v>37</v>
      </c>
      <c r="M434" s="2">
        <v>1</v>
      </c>
      <c r="N434" s="3">
        <v>1500000</v>
      </c>
      <c r="O434" s="3">
        <v>1478728.76</v>
      </c>
      <c r="P434" s="4">
        <v>0</v>
      </c>
      <c r="Q434" s="2">
        <v>0</v>
      </c>
      <c r="R434" s="3">
        <v>1478728.76</v>
      </c>
      <c r="S434" s="3">
        <v>0</v>
      </c>
      <c r="T434" s="3">
        <v>1478728.76</v>
      </c>
      <c r="U434" t="str">
        <f t="shared" si="6"/>
        <v>Not achive</v>
      </c>
    </row>
    <row r="435" spans="1:21" x14ac:dyDescent="0.3">
      <c r="A435" s="2">
        <v>800052</v>
      </c>
      <c r="B435" s="10">
        <v>45633</v>
      </c>
      <c r="C435" s="2" t="s">
        <v>51</v>
      </c>
      <c r="D435" s="2" t="s">
        <v>106</v>
      </c>
      <c r="E435" s="2" t="s">
        <v>107</v>
      </c>
      <c r="F435" s="2" t="s">
        <v>32</v>
      </c>
      <c r="G435" s="2" t="s">
        <v>72</v>
      </c>
      <c r="H435" s="2" t="s">
        <v>25</v>
      </c>
      <c r="I435" s="2" t="s">
        <v>26</v>
      </c>
      <c r="J435" s="2" t="s">
        <v>81</v>
      </c>
      <c r="K435" s="2" t="s">
        <v>77</v>
      </c>
      <c r="L435" s="2" t="s">
        <v>50</v>
      </c>
      <c r="M435" s="2">
        <v>3</v>
      </c>
      <c r="N435" s="3">
        <v>1700000</v>
      </c>
      <c r="O435" s="3">
        <v>1704041.18</v>
      </c>
      <c r="P435" s="4">
        <v>0</v>
      </c>
      <c r="Q435" s="2">
        <v>0</v>
      </c>
      <c r="R435" s="3">
        <v>5112123.54</v>
      </c>
      <c r="S435" s="3">
        <v>0</v>
      </c>
      <c r="T435" s="3">
        <v>5112123.54</v>
      </c>
      <c r="U435" t="str">
        <f t="shared" si="6"/>
        <v>Achive</v>
      </c>
    </row>
    <row r="436" spans="1:21" x14ac:dyDescent="0.3">
      <c r="A436" s="2">
        <v>800179</v>
      </c>
      <c r="B436" s="10">
        <v>45633</v>
      </c>
      <c r="C436" s="2" t="s">
        <v>51</v>
      </c>
      <c r="D436" s="2" t="s">
        <v>106</v>
      </c>
      <c r="E436" s="2" t="s">
        <v>128</v>
      </c>
      <c r="F436" s="2" t="s">
        <v>32</v>
      </c>
      <c r="G436" s="2" t="s">
        <v>94</v>
      </c>
      <c r="H436" s="2" t="s">
        <v>25</v>
      </c>
      <c r="I436" s="2" t="s">
        <v>26</v>
      </c>
      <c r="J436" s="2" t="s">
        <v>57</v>
      </c>
      <c r="K436" s="2" t="s">
        <v>58</v>
      </c>
      <c r="L436" s="2" t="s">
        <v>123</v>
      </c>
      <c r="M436" s="2">
        <v>3</v>
      </c>
      <c r="N436" s="3">
        <v>800000</v>
      </c>
      <c r="O436" s="3">
        <v>793673.62</v>
      </c>
      <c r="P436" s="4">
        <v>2</v>
      </c>
      <c r="Q436" s="2">
        <v>0</v>
      </c>
      <c r="R436" s="3">
        <v>2381020.86</v>
      </c>
      <c r="S436" s="3">
        <v>47620.42</v>
      </c>
      <c r="T436" s="3">
        <v>2333400.44</v>
      </c>
      <c r="U436" t="str">
        <f t="shared" si="6"/>
        <v>Achive</v>
      </c>
    </row>
    <row r="437" spans="1:21" x14ac:dyDescent="0.3">
      <c r="A437" s="2">
        <v>800195</v>
      </c>
      <c r="B437" s="10">
        <v>45633</v>
      </c>
      <c r="C437" s="2" t="s">
        <v>20</v>
      </c>
      <c r="D437" s="2" t="s">
        <v>74</v>
      </c>
      <c r="E437" s="2" t="s">
        <v>75</v>
      </c>
      <c r="F437" s="2" t="s">
        <v>46</v>
      </c>
      <c r="G437" s="2" t="s">
        <v>24</v>
      </c>
      <c r="H437" s="2" t="s">
        <v>25</v>
      </c>
      <c r="I437" s="2" t="s">
        <v>26</v>
      </c>
      <c r="J437" s="2" t="s">
        <v>76</v>
      </c>
      <c r="K437" s="2" t="s">
        <v>117</v>
      </c>
      <c r="L437" s="2" t="s">
        <v>92</v>
      </c>
      <c r="M437" s="2">
        <v>1</v>
      </c>
      <c r="N437" s="3">
        <v>700000</v>
      </c>
      <c r="O437" s="3">
        <v>696475.55</v>
      </c>
      <c r="P437" s="4">
        <v>7.5</v>
      </c>
      <c r="Q437" s="2">
        <v>0</v>
      </c>
      <c r="R437" s="3">
        <v>696475.55</v>
      </c>
      <c r="S437" s="3">
        <v>52235.67</v>
      </c>
      <c r="T437" s="3">
        <v>644239.88</v>
      </c>
      <c r="U437" t="str">
        <f t="shared" si="6"/>
        <v>Not achive</v>
      </c>
    </row>
    <row r="438" spans="1:21" x14ac:dyDescent="0.3">
      <c r="A438" s="2">
        <v>800225</v>
      </c>
      <c r="B438" s="10">
        <v>45633</v>
      </c>
      <c r="C438" s="2" t="s">
        <v>69</v>
      </c>
      <c r="D438" s="2" t="s">
        <v>83</v>
      </c>
      <c r="E438" s="2" t="s">
        <v>84</v>
      </c>
      <c r="F438" s="2" t="s">
        <v>23</v>
      </c>
      <c r="G438" s="2" t="s">
        <v>54</v>
      </c>
      <c r="H438" s="2" t="s">
        <v>25</v>
      </c>
      <c r="I438" s="2" t="s">
        <v>26</v>
      </c>
      <c r="J438" s="2" t="s">
        <v>57</v>
      </c>
      <c r="K438" s="2" t="s">
        <v>99</v>
      </c>
      <c r="L438" s="2" t="s">
        <v>87</v>
      </c>
      <c r="M438" s="2">
        <v>2</v>
      </c>
      <c r="N438" s="3">
        <v>800000</v>
      </c>
      <c r="O438" s="3">
        <v>783430.15</v>
      </c>
      <c r="P438" s="4">
        <v>0</v>
      </c>
      <c r="Q438" s="2">
        <v>0</v>
      </c>
      <c r="R438" s="3">
        <v>1566860.3</v>
      </c>
      <c r="S438" s="3">
        <v>0</v>
      </c>
      <c r="T438" s="3">
        <v>1566860.3</v>
      </c>
      <c r="U438" t="str">
        <f t="shared" si="6"/>
        <v>Not achive</v>
      </c>
    </row>
    <row r="439" spans="1:21" x14ac:dyDescent="0.3">
      <c r="A439" s="2">
        <v>800577</v>
      </c>
      <c r="B439" s="10">
        <v>45633</v>
      </c>
      <c r="C439" s="2" t="s">
        <v>20</v>
      </c>
      <c r="D439" s="2" t="s">
        <v>74</v>
      </c>
      <c r="E439" s="2" t="s">
        <v>113</v>
      </c>
      <c r="F439" s="2" t="s">
        <v>32</v>
      </c>
      <c r="G439" s="2" t="s">
        <v>72</v>
      </c>
      <c r="H439" s="2" t="s">
        <v>25</v>
      </c>
      <c r="I439" s="2" t="s">
        <v>26</v>
      </c>
      <c r="J439" s="2" t="s">
        <v>48</v>
      </c>
      <c r="K439" s="2" t="s">
        <v>62</v>
      </c>
      <c r="L439" s="2" t="s">
        <v>78</v>
      </c>
      <c r="M439" s="2">
        <v>1</v>
      </c>
      <c r="N439" s="3">
        <v>1200000</v>
      </c>
      <c r="O439" s="3">
        <v>1210079.97</v>
      </c>
      <c r="P439" s="4">
        <v>0</v>
      </c>
      <c r="Q439" s="2">
        <v>0</v>
      </c>
      <c r="R439" s="3">
        <v>1210079.97</v>
      </c>
      <c r="S439" s="3">
        <v>0</v>
      </c>
      <c r="T439" s="3">
        <v>1210079.97</v>
      </c>
      <c r="U439" t="str">
        <f t="shared" si="6"/>
        <v>Not achive</v>
      </c>
    </row>
    <row r="440" spans="1:21" x14ac:dyDescent="0.3">
      <c r="A440" s="2">
        <v>800056</v>
      </c>
      <c r="B440" s="10">
        <v>45634</v>
      </c>
      <c r="C440" s="2" t="s">
        <v>38</v>
      </c>
      <c r="D440" s="2" t="s">
        <v>39</v>
      </c>
      <c r="E440" s="2" t="s">
        <v>126</v>
      </c>
      <c r="F440" s="2" t="s">
        <v>41</v>
      </c>
      <c r="G440" s="2" t="s">
        <v>90</v>
      </c>
      <c r="H440" s="2" t="s">
        <v>25</v>
      </c>
      <c r="I440" s="2" t="s">
        <v>26</v>
      </c>
      <c r="J440" s="2" t="s">
        <v>120</v>
      </c>
      <c r="K440" s="2" t="s">
        <v>77</v>
      </c>
      <c r="L440" s="2" t="s">
        <v>37</v>
      </c>
      <c r="M440" s="2">
        <v>3</v>
      </c>
      <c r="N440" s="3">
        <v>1900000</v>
      </c>
      <c r="O440" s="3">
        <v>1915025.64</v>
      </c>
      <c r="P440" s="4">
        <v>12.5</v>
      </c>
      <c r="Q440" s="2">
        <v>0</v>
      </c>
      <c r="R440" s="3">
        <v>5745076.9199999999</v>
      </c>
      <c r="S440" s="3">
        <v>718134.61</v>
      </c>
      <c r="T440" s="3">
        <v>5026942.3099999996</v>
      </c>
      <c r="U440" t="str">
        <f t="shared" si="6"/>
        <v>Achive</v>
      </c>
    </row>
    <row r="441" spans="1:21" x14ac:dyDescent="0.3">
      <c r="A441" s="2">
        <v>800069</v>
      </c>
      <c r="B441" s="10">
        <v>45634</v>
      </c>
      <c r="C441" s="2" t="s">
        <v>38</v>
      </c>
      <c r="D441" s="2" t="s">
        <v>39</v>
      </c>
      <c r="E441" s="2" t="s">
        <v>126</v>
      </c>
      <c r="F441" s="2" t="s">
        <v>23</v>
      </c>
      <c r="G441" s="2" t="s">
        <v>94</v>
      </c>
      <c r="H441" s="2" t="s">
        <v>25</v>
      </c>
      <c r="I441" s="2" t="s">
        <v>26</v>
      </c>
      <c r="J441" s="2" t="s">
        <v>81</v>
      </c>
      <c r="K441" s="2" t="s">
        <v>77</v>
      </c>
      <c r="L441" s="2" t="s">
        <v>78</v>
      </c>
      <c r="M441" s="2">
        <v>1</v>
      </c>
      <c r="N441" s="3">
        <v>1700000</v>
      </c>
      <c r="O441" s="3">
        <v>1733740.37</v>
      </c>
      <c r="P441" s="4">
        <v>10</v>
      </c>
      <c r="Q441" s="2">
        <v>0</v>
      </c>
      <c r="R441" s="3">
        <v>1733740.37</v>
      </c>
      <c r="S441" s="3">
        <v>173374.04</v>
      </c>
      <c r="T441" s="3">
        <v>1560366.33</v>
      </c>
      <c r="U441" t="str">
        <f t="shared" si="6"/>
        <v>Not achive</v>
      </c>
    </row>
    <row r="442" spans="1:21" x14ac:dyDescent="0.3">
      <c r="A442" s="2">
        <v>800326</v>
      </c>
      <c r="B442" s="10">
        <v>45634</v>
      </c>
      <c r="C442" s="2" t="s">
        <v>20</v>
      </c>
      <c r="D442" s="2" t="s">
        <v>21</v>
      </c>
      <c r="E442" s="2" t="s">
        <v>98</v>
      </c>
      <c r="F442" s="2" t="s">
        <v>41</v>
      </c>
      <c r="G442" s="2" t="s">
        <v>42</v>
      </c>
      <c r="H442" s="2" t="s">
        <v>25</v>
      </c>
      <c r="I442" s="2" t="s">
        <v>43</v>
      </c>
      <c r="J442" s="2" t="s">
        <v>101</v>
      </c>
      <c r="K442" s="2" t="s">
        <v>45</v>
      </c>
      <c r="L442" s="2" t="s">
        <v>59</v>
      </c>
      <c r="M442" s="2">
        <v>4</v>
      </c>
      <c r="N442" s="3">
        <v>1000000</v>
      </c>
      <c r="O442" s="3">
        <v>1012593.56</v>
      </c>
      <c r="P442" s="4">
        <v>0</v>
      </c>
      <c r="Q442" s="2">
        <v>0</v>
      </c>
      <c r="R442" s="3">
        <v>4050374.24</v>
      </c>
      <c r="S442" s="3">
        <v>0</v>
      </c>
      <c r="T442" s="3">
        <v>4050374.24</v>
      </c>
      <c r="U442" t="str">
        <f t="shared" si="6"/>
        <v>Achive</v>
      </c>
    </row>
    <row r="443" spans="1:21" x14ac:dyDescent="0.3">
      <c r="A443" s="2">
        <v>800556</v>
      </c>
      <c r="B443" s="10">
        <v>45634</v>
      </c>
      <c r="C443" s="2" t="s">
        <v>38</v>
      </c>
      <c r="D443" s="2" t="s">
        <v>63</v>
      </c>
      <c r="E443" s="2" t="s">
        <v>114</v>
      </c>
      <c r="F443" s="2" t="s">
        <v>32</v>
      </c>
      <c r="G443" s="2" t="s">
        <v>66</v>
      </c>
      <c r="H443" s="2" t="s">
        <v>25</v>
      </c>
      <c r="I443" s="2" t="s">
        <v>26</v>
      </c>
      <c r="J443" s="2" t="s">
        <v>120</v>
      </c>
      <c r="K443" s="2" t="s">
        <v>121</v>
      </c>
      <c r="L443" s="2" t="s">
        <v>73</v>
      </c>
      <c r="M443" s="2">
        <v>1</v>
      </c>
      <c r="N443" s="3">
        <v>1900000</v>
      </c>
      <c r="O443" s="3">
        <v>1860670.61</v>
      </c>
      <c r="P443" s="4">
        <v>10</v>
      </c>
      <c r="Q443" s="2">
        <v>0</v>
      </c>
      <c r="R443" s="3">
        <v>1860670.61</v>
      </c>
      <c r="S443" s="3">
        <v>186067.06</v>
      </c>
      <c r="T443" s="3">
        <v>1674603.55</v>
      </c>
      <c r="U443" t="str">
        <f t="shared" si="6"/>
        <v>Not achive</v>
      </c>
    </row>
    <row r="444" spans="1:21" x14ac:dyDescent="0.3">
      <c r="A444" s="2">
        <v>800615</v>
      </c>
      <c r="B444" s="10">
        <v>45634</v>
      </c>
      <c r="C444" s="2" t="s">
        <v>38</v>
      </c>
      <c r="D444" s="2" t="s">
        <v>63</v>
      </c>
      <c r="E444" s="2" t="s">
        <v>64</v>
      </c>
      <c r="F444" s="2" t="s">
        <v>65</v>
      </c>
      <c r="G444" s="2" t="s">
        <v>54</v>
      </c>
      <c r="H444" s="2" t="s">
        <v>25</v>
      </c>
      <c r="I444" s="2" t="s">
        <v>43</v>
      </c>
      <c r="J444" s="2" t="s">
        <v>44</v>
      </c>
      <c r="K444" s="2" t="s">
        <v>129</v>
      </c>
      <c r="L444" s="2" t="s">
        <v>59</v>
      </c>
      <c r="M444" s="2">
        <v>3</v>
      </c>
      <c r="N444" s="3">
        <v>800000</v>
      </c>
      <c r="O444" s="3">
        <v>793431.01</v>
      </c>
      <c r="P444" s="4">
        <v>0</v>
      </c>
      <c r="Q444" s="2">
        <v>0</v>
      </c>
      <c r="R444" s="3">
        <v>2380293.0299999998</v>
      </c>
      <c r="S444" s="3">
        <v>0</v>
      </c>
      <c r="T444" s="3">
        <v>2380293.0299999998</v>
      </c>
      <c r="U444" t="str">
        <f t="shared" si="6"/>
        <v>Achive</v>
      </c>
    </row>
    <row r="445" spans="1:21" x14ac:dyDescent="0.3">
      <c r="A445" s="2">
        <v>800210</v>
      </c>
      <c r="B445" s="10">
        <v>45636</v>
      </c>
      <c r="C445" s="2" t="s">
        <v>51</v>
      </c>
      <c r="D445" s="2" t="s">
        <v>52</v>
      </c>
      <c r="E445" s="2" t="s">
        <v>132</v>
      </c>
      <c r="F445" s="2" t="s">
        <v>65</v>
      </c>
      <c r="G445" s="2" t="s">
        <v>72</v>
      </c>
      <c r="H445" s="2" t="s">
        <v>25</v>
      </c>
      <c r="I445" s="2" t="s">
        <v>67</v>
      </c>
      <c r="J445" s="2" t="s">
        <v>68</v>
      </c>
      <c r="K445" s="2" t="s">
        <v>117</v>
      </c>
      <c r="L445" s="2" t="s">
        <v>50</v>
      </c>
      <c r="M445" s="2">
        <v>2</v>
      </c>
      <c r="N445" s="3">
        <v>1200000</v>
      </c>
      <c r="O445" s="3">
        <v>1179101.98</v>
      </c>
      <c r="P445" s="4">
        <v>2</v>
      </c>
      <c r="Q445" s="2">
        <v>0</v>
      </c>
      <c r="R445" s="3">
        <v>2358203.96</v>
      </c>
      <c r="S445" s="3">
        <v>47164.08</v>
      </c>
      <c r="T445" s="3">
        <v>2311039.88</v>
      </c>
      <c r="U445" t="str">
        <f t="shared" si="6"/>
        <v>Achive</v>
      </c>
    </row>
    <row r="446" spans="1:21" x14ac:dyDescent="0.3">
      <c r="A446" s="2">
        <v>800579</v>
      </c>
      <c r="B446" s="10">
        <v>45637</v>
      </c>
      <c r="C446" s="2" t="s">
        <v>38</v>
      </c>
      <c r="D446" s="2" t="s">
        <v>79</v>
      </c>
      <c r="E446" s="2" t="s">
        <v>80</v>
      </c>
      <c r="F446" s="2" t="s">
        <v>32</v>
      </c>
      <c r="G446" s="2" t="s">
        <v>54</v>
      </c>
      <c r="H446" s="2" t="s">
        <v>25</v>
      </c>
      <c r="I446" s="2" t="s">
        <v>26</v>
      </c>
      <c r="J446" s="2" t="s">
        <v>27</v>
      </c>
      <c r="K446" s="2" t="s">
        <v>58</v>
      </c>
      <c r="L446" s="2" t="s">
        <v>59</v>
      </c>
      <c r="M446" s="2">
        <v>2</v>
      </c>
      <c r="N446" s="3">
        <v>750000</v>
      </c>
      <c r="O446" s="3">
        <v>757227.43</v>
      </c>
      <c r="P446" s="4">
        <v>2</v>
      </c>
      <c r="Q446" s="2">
        <v>0</v>
      </c>
      <c r="R446" s="3">
        <v>1514454.86</v>
      </c>
      <c r="S446" s="3">
        <v>30289.1</v>
      </c>
      <c r="T446" s="3">
        <v>1484165.76</v>
      </c>
      <c r="U446" t="str">
        <f t="shared" si="6"/>
        <v>Not achive</v>
      </c>
    </row>
    <row r="447" spans="1:21" x14ac:dyDescent="0.3">
      <c r="A447" s="2">
        <v>800415</v>
      </c>
      <c r="B447" s="10">
        <v>45638</v>
      </c>
      <c r="C447" s="2" t="s">
        <v>51</v>
      </c>
      <c r="D447" s="2" t="s">
        <v>110</v>
      </c>
      <c r="E447" s="2" t="s">
        <v>134</v>
      </c>
      <c r="F447" s="2" t="s">
        <v>41</v>
      </c>
      <c r="G447" s="2" t="s">
        <v>116</v>
      </c>
      <c r="H447" s="2" t="s">
        <v>25</v>
      </c>
      <c r="I447" s="2" t="s">
        <v>67</v>
      </c>
      <c r="J447" s="2" t="s">
        <v>112</v>
      </c>
      <c r="K447" s="2" t="s">
        <v>99</v>
      </c>
      <c r="L447" s="2" t="s">
        <v>92</v>
      </c>
      <c r="M447" s="2">
        <v>1</v>
      </c>
      <c r="N447" s="3">
        <v>1250000</v>
      </c>
      <c r="O447" s="3">
        <v>1235712.42</v>
      </c>
      <c r="P447" s="4">
        <v>0</v>
      </c>
      <c r="Q447" s="2">
        <v>0</v>
      </c>
      <c r="R447" s="3">
        <v>1235712.42</v>
      </c>
      <c r="S447" s="3">
        <v>0</v>
      </c>
      <c r="T447" s="3">
        <v>1235712.42</v>
      </c>
      <c r="U447" t="str">
        <f t="shared" si="6"/>
        <v>Not achive</v>
      </c>
    </row>
    <row r="448" spans="1:21" x14ac:dyDescent="0.3">
      <c r="A448" s="2">
        <v>800118</v>
      </c>
      <c r="B448" s="10">
        <v>45639</v>
      </c>
      <c r="C448" s="2" t="s">
        <v>51</v>
      </c>
      <c r="D448" s="2" t="s">
        <v>110</v>
      </c>
      <c r="E448" s="2" t="s">
        <v>124</v>
      </c>
      <c r="F448" s="2" t="s">
        <v>32</v>
      </c>
      <c r="G448" s="2" t="s">
        <v>94</v>
      </c>
      <c r="H448" s="2" t="s">
        <v>25</v>
      </c>
      <c r="I448" s="2" t="s">
        <v>34</v>
      </c>
      <c r="J448" s="2" t="s">
        <v>35</v>
      </c>
      <c r="K448" s="2" t="s">
        <v>45</v>
      </c>
      <c r="L448" s="2" t="s">
        <v>37</v>
      </c>
      <c r="M448" s="2">
        <v>5</v>
      </c>
      <c r="N448" s="3">
        <v>550000</v>
      </c>
      <c r="O448" s="3">
        <v>551425.53</v>
      </c>
      <c r="P448" s="4">
        <v>7.5</v>
      </c>
      <c r="Q448" s="2">
        <v>0</v>
      </c>
      <c r="R448" s="3">
        <v>2757127.65</v>
      </c>
      <c r="S448" s="3">
        <v>206784.57</v>
      </c>
      <c r="T448" s="3">
        <v>2550343.08</v>
      </c>
      <c r="U448" t="str">
        <f t="shared" si="6"/>
        <v>Achive</v>
      </c>
    </row>
    <row r="449" spans="1:21" x14ac:dyDescent="0.3">
      <c r="A449" s="2">
        <v>800383</v>
      </c>
      <c r="B449" s="10">
        <v>45640</v>
      </c>
      <c r="C449" s="2" t="s">
        <v>69</v>
      </c>
      <c r="D449" s="2" t="s">
        <v>83</v>
      </c>
      <c r="E449" s="2" t="s">
        <v>97</v>
      </c>
      <c r="F449" s="2" t="s">
        <v>23</v>
      </c>
      <c r="G449" s="2" t="s">
        <v>72</v>
      </c>
      <c r="H449" s="2" t="s">
        <v>25</v>
      </c>
      <c r="I449" s="2" t="s">
        <v>67</v>
      </c>
      <c r="J449" s="2" t="s">
        <v>112</v>
      </c>
      <c r="K449" s="2" t="s">
        <v>58</v>
      </c>
      <c r="L449" s="2" t="s">
        <v>78</v>
      </c>
      <c r="M449" s="2">
        <v>1</v>
      </c>
      <c r="N449" s="3">
        <v>1250000</v>
      </c>
      <c r="O449" s="3">
        <v>1237945.9099999999</v>
      </c>
      <c r="P449" s="4">
        <v>0</v>
      </c>
      <c r="Q449" s="2">
        <v>0</v>
      </c>
      <c r="R449" s="3">
        <v>1237945.9099999999</v>
      </c>
      <c r="S449" s="3">
        <v>0</v>
      </c>
      <c r="T449" s="3">
        <v>1237945.9099999999</v>
      </c>
      <c r="U449" t="str">
        <f t="shared" si="6"/>
        <v>Not achive</v>
      </c>
    </row>
    <row r="450" spans="1:21" x14ac:dyDescent="0.3">
      <c r="A450" s="2">
        <v>800612</v>
      </c>
      <c r="B450" s="10">
        <v>45641</v>
      </c>
      <c r="C450" s="2" t="s">
        <v>38</v>
      </c>
      <c r="D450" s="2" t="s">
        <v>39</v>
      </c>
      <c r="E450" s="2" t="s">
        <v>126</v>
      </c>
      <c r="F450" s="2" t="s">
        <v>32</v>
      </c>
      <c r="G450" s="2" t="s">
        <v>116</v>
      </c>
      <c r="H450" s="2" t="s">
        <v>25</v>
      </c>
      <c r="I450" s="2" t="s">
        <v>26</v>
      </c>
      <c r="J450" s="2" t="s">
        <v>127</v>
      </c>
      <c r="K450" s="2" t="s">
        <v>130</v>
      </c>
      <c r="L450" s="2" t="s">
        <v>122</v>
      </c>
      <c r="M450" s="2">
        <v>2</v>
      </c>
      <c r="N450" s="3">
        <v>650000</v>
      </c>
      <c r="O450" s="3">
        <v>660017.36</v>
      </c>
      <c r="P450" s="4">
        <v>0</v>
      </c>
      <c r="Q450" s="2">
        <v>1</v>
      </c>
      <c r="R450" s="3">
        <v>1320034.72</v>
      </c>
      <c r="S450" s="3">
        <v>0</v>
      </c>
      <c r="T450" s="3">
        <v>1320034.72</v>
      </c>
      <c r="U450" t="str">
        <f t="shared" ref="U450:U513" si="7">IF(T450&gt;2000000,"Achive","Not achive")</f>
        <v>Not achive</v>
      </c>
    </row>
    <row r="451" spans="1:21" x14ac:dyDescent="0.3">
      <c r="A451" s="2">
        <v>800160</v>
      </c>
      <c r="B451" s="10">
        <v>45642</v>
      </c>
      <c r="C451" s="2" t="s">
        <v>20</v>
      </c>
      <c r="D451" s="2" t="s">
        <v>21</v>
      </c>
      <c r="E451" s="2" t="s">
        <v>98</v>
      </c>
      <c r="F451" s="2" t="s">
        <v>65</v>
      </c>
      <c r="G451" s="2" t="s">
        <v>54</v>
      </c>
      <c r="H451" s="2" t="s">
        <v>25</v>
      </c>
      <c r="I451" s="2" t="s">
        <v>26</v>
      </c>
      <c r="J451" s="2" t="s">
        <v>105</v>
      </c>
      <c r="K451" s="2" t="s">
        <v>49</v>
      </c>
      <c r="L451" s="2" t="s">
        <v>87</v>
      </c>
      <c r="M451" s="2">
        <v>3</v>
      </c>
      <c r="N451" s="3">
        <v>950000</v>
      </c>
      <c r="O451" s="3">
        <v>956617.67</v>
      </c>
      <c r="P451" s="4">
        <v>5</v>
      </c>
      <c r="Q451" s="2">
        <v>0</v>
      </c>
      <c r="R451" s="3">
        <v>2869853.01</v>
      </c>
      <c r="S451" s="3">
        <v>143492.65</v>
      </c>
      <c r="T451" s="3">
        <v>2726360.36</v>
      </c>
      <c r="U451" t="str">
        <f t="shared" si="7"/>
        <v>Achive</v>
      </c>
    </row>
    <row r="452" spans="1:21" x14ac:dyDescent="0.3">
      <c r="A452" s="2">
        <v>800022</v>
      </c>
      <c r="B452" s="10">
        <v>45643</v>
      </c>
      <c r="C452" s="2" t="s">
        <v>69</v>
      </c>
      <c r="D452" s="2" t="s">
        <v>95</v>
      </c>
      <c r="E452" s="2" t="s">
        <v>96</v>
      </c>
      <c r="F452" s="2" t="s">
        <v>32</v>
      </c>
      <c r="G452" s="2" t="s">
        <v>116</v>
      </c>
      <c r="H452" s="2" t="s">
        <v>25</v>
      </c>
      <c r="I452" s="2" t="s">
        <v>26</v>
      </c>
      <c r="J452" s="2" t="s">
        <v>120</v>
      </c>
      <c r="K452" s="2" t="s">
        <v>77</v>
      </c>
      <c r="L452" s="2" t="s">
        <v>29</v>
      </c>
      <c r="M452" s="2">
        <v>1</v>
      </c>
      <c r="N452" s="3">
        <v>1900000</v>
      </c>
      <c r="O452" s="3">
        <v>1898496.87</v>
      </c>
      <c r="P452" s="4">
        <v>0</v>
      </c>
      <c r="Q452" s="2">
        <v>0</v>
      </c>
      <c r="R452" s="3">
        <v>1898496.87</v>
      </c>
      <c r="S452" s="3">
        <v>0</v>
      </c>
      <c r="T452" s="3">
        <v>1898496.87</v>
      </c>
      <c r="U452" t="str">
        <f t="shared" si="7"/>
        <v>Not achive</v>
      </c>
    </row>
    <row r="453" spans="1:21" x14ac:dyDescent="0.3">
      <c r="A453" s="2">
        <v>800144</v>
      </c>
      <c r="B453" s="10">
        <v>45643</v>
      </c>
      <c r="C453" s="2" t="s">
        <v>51</v>
      </c>
      <c r="D453" s="2" t="s">
        <v>55</v>
      </c>
      <c r="E453" s="2" t="s">
        <v>137</v>
      </c>
      <c r="F453" s="2" t="s">
        <v>41</v>
      </c>
      <c r="G453" s="2" t="s">
        <v>94</v>
      </c>
      <c r="H453" s="2" t="s">
        <v>25</v>
      </c>
      <c r="I453" s="2" t="s">
        <v>67</v>
      </c>
      <c r="J453" s="2" t="s">
        <v>108</v>
      </c>
      <c r="K453" s="2" t="s">
        <v>62</v>
      </c>
      <c r="L453" s="2" t="s">
        <v>78</v>
      </c>
      <c r="M453" s="2">
        <v>1</v>
      </c>
      <c r="N453" s="3">
        <v>1800000</v>
      </c>
      <c r="O453" s="3">
        <v>1810062.82</v>
      </c>
      <c r="P453" s="4">
        <v>0</v>
      </c>
      <c r="Q453" s="2">
        <v>0</v>
      </c>
      <c r="R453" s="3">
        <v>1810062.82</v>
      </c>
      <c r="S453" s="3">
        <v>0</v>
      </c>
      <c r="T453" s="3">
        <v>1810062.82</v>
      </c>
      <c r="U453" t="str">
        <f t="shared" si="7"/>
        <v>Not achive</v>
      </c>
    </row>
    <row r="454" spans="1:21" x14ac:dyDescent="0.3">
      <c r="A454" s="2">
        <v>800247</v>
      </c>
      <c r="B454" s="10">
        <v>45644</v>
      </c>
      <c r="C454" s="2" t="s">
        <v>38</v>
      </c>
      <c r="D454" s="2" t="s">
        <v>63</v>
      </c>
      <c r="E454" s="2" t="s">
        <v>64</v>
      </c>
      <c r="F454" s="2" t="s">
        <v>23</v>
      </c>
      <c r="G454" s="2" t="s">
        <v>61</v>
      </c>
      <c r="H454" s="2" t="s">
        <v>25</v>
      </c>
      <c r="I454" s="2" t="s">
        <v>26</v>
      </c>
      <c r="J454" s="2" t="s">
        <v>81</v>
      </c>
      <c r="K454" s="2" t="s">
        <v>82</v>
      </c>
      <c r="L454" s="2" t="s">
        <v>59</v>
      </c>
      <c r="M454" s="2">
        <v>3</v>
      </c>
      <c r="N454" s="3">
        <v>1700000</v>
      </c>
      <c r="O454" s="3">
        <v>1661977.84</v>
      </c>
      <c r="P454" s="4">
        <v>0</v>
      </c>
      <c r="Q454" s="2">
        <v>0</v>
      </c>
      <c r="R454" s="3">
        <v>4985933.5199999996</v>
      </c>
      <c r="S454" s="3">
        <v>0</v>
      </c>
      <c r="T454" s="3">
        <v>4985933.5199999996</v>
      </c>
      <c r="U454" t="str">
        <f t="shared" si="7"/>
        <v>Achive</v>
      </c>
    </row>
    <row r="455" spans="1:21" x14ac:dyDescent="0.3">
      <c r="A455" s="2">
        <v>800370</v>
      </c>
      <c r="B455" s="10">
        <v>45644</v>
      </c>
      <c r="C455" s="2" t="s">
        <v>20</v>
      </c>
      <c r="D455" s="2" t="s">
        <v>30</v>
      </c>
      <c r="E455" s="2" t="s">
        <v>88</v>
      </c>
      <c r="F455" s="2" t="s">
        <v>23</v>
      </c>
      <c r="G455" s="2" t="s">
        <v>100</v>
      </c>
      <c r="H455" s="2" t="s">
        <v>25</v>
      </c>
      <c r="I455" s="2" t="s">
        <v>26</v>
      </c>
      <c r="J455" s="2" t="s">
        <v>76</v>
      </c>
      <c r="K455" s="2" t="s">
        <v>117</v>
      </c>
      <c r="L455" s="2" t="s">
        <v>92</v>
      </c>
      <c r="M455" s="2">
        <v>1</v>
      </c>
      <c r="N455" s="3">
        <v>700000</v>
      </c>
      <c r="O455" s="3">
        <v>706811.56</v>
      </c>
      <c r="P455" s="4">
        <v>0</v>
      </c>
      <c r="Q455" s="2">
        <v>0</v>
      </c>
      <c r="R455" s="3">
        <v>706811.56</v>
      </c>
      <c r="S455" s="3">
        <v>0</v>
      </c>
      <c r="T455" s="3">
        <v>706811.56</v>
      </c>
      <c r="U455" t="str">
        <f t="shared" si="7"/>
        <v>Not achive</v>
      </c>
    </row>
    <row r="456" spans="1:21" x14ac:dyDescent="0.3">
      <c r="A456" s="2">
        <v>800389</v>
      </c>
      <c r="B456" s="10">
        <v>45644</v>
      </c>
      <c r="C456" s="2" t="s">
        <v>20</v>
      </c>
      <c r="D456" s="2" t="s">
        <v>30</v>
      </c>
      <c r="E456" s="2" t="s">
        <v>31</v>
      </c>
      <c r="F456" s="2" t="s">
        <v>32</v>
      </c>
      <c r="G456" s="2" t="s">
        <v>116</v>
      </c>
      <c r="H456" s="2" t="s">
        <v>25</v>
      </c>
      <c r="I456" s="2" t="s">
        <v>43</v>
      </c>
      <c r="J456" s="2" t="s">
        <v>44</v>
      </c>
      <c r="K456" s="2" t="s">
        <v>129</v>
      </c>
      <c r="L456" s="2" t="s">
        <v>123</v>
      </c>
      <c r="M456" s="2">
        <v>5</v>
      </c>
      <c r="N456" s="3">
        <v>800000</v>
      </c>
      <c r="O456" s="3">
        <v>788616.68</v>
      </c>
      <c r="P456" s="4">
        <v>5</v>
      </c>
      <c r="Q456" s="2">
        <v>0</v>
      </c>
      <c r="R456" s="3">
        <v>3943083.4</v>
      </c>
      <c r="S456" s="3">
        <v>197154.17</v>
      </c>
      <c r="T456" s="3">
        <v>3745929.23</v>
      </c>
      <c r="U456" t="str">
        <f t="shared" si="7"/>
        <v>Achive</v>
      </c>
    </row>
    <row r="457" spans="1:21" x14ac:dyDescent="0.3">
      <c r="A457" s="2">
        <v>800098</v>
      </c>
      <c r="B457" s="10">
        <v>45645</v>
      </c>
      <c r="C457" s="2" t="s">
        <v>69</v>
      </c>
      <c r="D457" s="2" t="s">
        <v>70</v>
      </c>
      <c r="E457" s="2" t="s">
        <v>71</v>
      </c>
      <c r="F457" s="2" t="s">
        <v>46</v>
      </c>
      <c r="G457" s="2" t="s">
        <v>33</v>
      </c>
      <c r="H457" s="2" t="s">
        <v>25</v>
      </c>
      <c r="I457" s="2" t="s">
        <v>67</v>
      </c>
      <c r="J457" s="2" t="s">
        <v>85</v>
      </c>
      <c r="K457" s="2" t="s">
        <v>91</v>
      </c>
      <c r="L457" s="2" t="s">
        <v>50</v>
      </c>
      <c r="M457" s="2">
        <v>3</v>
      </c>
      <c r="N457" s="3">
        <v>1500000</v>
      </c>
      <c r="O457" s="3">
        <v>1459766.85</v>
      </c>
      <c r="P457" s="4">
        <v>12.5</v>
      </c>
      <c r="Q457" s="2">
        <v>0</v>
      </c>
      <c r="R457" s="3">
        <v>4379300.55</v>
      </c>
      <c r="S457" s="3">
        <v>547412.56999999995</v>
      </c>
      <c r="T457" s="3">
        <v>3831887.98</v>
      </c>
      <c r="U457" t="str">
        <f t="shared" si="7"/>
        <v>Achive</v>
      </c>
    </row>
    <row r="458" spans="1:21" x14ac:dyDescent="0.3">
      <c r="A458" s="2">
        <v>800127</v>
      </c>
      <c r="B458" s="10">
        <v>45645</v>
      </c>
      <c r="C458" s="2" t="s">
        <v>69</v>
      </c>
      <c r="D458" s="2" t="s">
        <v>70</v>
      </c>
      <c r="E458" s="2" t="s">
        <v>71</v>
      </c>
      <c r="F458" s="2" t="s">
        <v>23</v>
      </c>
      <c r="G458" s="2" t="s">
        <v>24</v>
      </c>
      <c r="H458" s="2" t="s">
        <v>25</v>
      </c>
      <c r="I458" s="2" t="s">
        <v>67</v>
      </c>
      <c r="J458" s="2" t="s">
        <v>108</v>
      </c>
      <c r="K458" s="2" t="s">
        <v>89</v>
      </c>
      <c r="L458" s="2" t="s">
        <v>59</v>
      </c>
      <c r="M458" s="2">
        <v>1</v>
      </c>
      <c r="N458" s="3">
        <v>1800000</v>
      </c>
      <c r="O458" s="3">
        <v>1771655.67</v>
      </c>
      <c r="P458" s="4">
        <v>0</v>
      </c>
      <c r="Q458" s="2">
        <v>0</v>
      </c>
      <c r="R458" s="3">
        <v>1771655.67</v>
      </c>
      <c r="S458" s="3">
        <v>0</v>
      </c>
      <c r="T458" s="3">
        <v>1771655.67</v>
      </c>
      <c r="U458" t="str">
        <f t="shared" si="7"/>
        <v>Not achive</v>
      </c>
    </row>
    <row r="459" spans="1:21" x14ac:dyDescent="0.3">
      <c r="A459" s="2">
        <v>800254</v>
      </c>
      <c r="B459" s="10">
        <v>45647</v>
      </c>
      <c r="C459" s="2" t="s">
        <v>20</v>
      </c>
      <c r="D459" s="2" t="s">
        <v>30</v>
      </c>
      <c r="E459" s="2" t="s">
        <v>88</v>
      </c>
      <c r="F459" s="2" t="s">
        <v>65</v>
      </c>
      <c r="G459" s="2" t="s">
        <v>61</v>
      </c>
      <c r="H459" s="2" t="s">
        <v>25</v>
      </c>
      <c r="I459" s="2" t="s">
        <v>67</v>
      </c>
      <c r="J459" s="2" t="s">
        <v>112</v>
      </c>
      <c r="K459" s="2" t="s">
        <v>99</v>
      </c>
      <c r="L459" s="2" t="s">
        <v>50</v>
      </c>
      <c r="M459" s="2">
        <v>3</v>
      </c>
      <c r="N459" s="3">
        <v>1250000</v>
      </c>
      <c r="O459" s="3">
        <v>1254582.8600000001</v>
      </c>
      <c r="P459" s="4">
        <v>0</v>
      </c>
      <c r="Q459" s="2">
        <v>0</v>
      </c>
      <c r="R459" s="3">
        <v>3763748.58</v>
      </c>
      <c r="S459" s="3">
        <v>0</v>
      </c>
      <c r="T459" s="3">
        <v>3763748.58</v>
      </c>
      <c r="U459" t="str">
        <f t="shared" si="7"/>
        <v>Achive</v>
      </c>
    </row>
    <row r="460" spans="1:21" x14ac:dyDescent="0.3">
      <c r="A460" s="2">
        <v>800604</v>
      </c>
      <c r="B460" s="10">
        <v>45647</v>
      </c>
      <c r="C460" s="2" t="s">
        <v>51</v>
      </c>
      <c r="D460" s="2" t="s">
        <v>52</v>
      </c>
      <c r="E460" s="2" t="s">
        <v>132</v>
      </c>
      <c r="F460" s="2" t="s">
        <v>46</v>
      </c>
      <c r="G460" s="2" t="s">
        <v>116</v>
      </c>
      <c r="H460" s="2" t="s">
        <v>25</v>
      </c>
      <c r="I460" s="2" t="s">
        <v>67</v>
      </c>
      <c r="J460" s="2" t="s">
        <v>85</v>
      </c>
      <c r="K460" s="2" t="s">
        <v>89</v>
      </c>
      <c r="L460" s="2" t="s">
        <v>78</v>
      </c>
      <c r="M460" s="2">
        <v>2</v>
      </c>
      <c r="N460" s="3">
        <v>1500000</v>
      </c>
      <c r="O460" s="3">
        <v>1498185.7</v>
      </c>
      <c r="P460" s="4">
        <v>0</v>
      </c>
      <c r="Q460" s="2">
        <v>0</v>
      </c>
      <c r="R460" s="3">
        <v>2996371.4</v>
      </c>
      <c r="S460" s="3">
        <v>0</v>
      </c>
      <c r="T460" s="3">
        <v>2996371.4</v>
      </c>
      <c r="U460" t="str">
        <f t="shared" si="7"/>
        <v>Achive</v>
      </c>
    </row>
    <row r="461" spans="1:21" x14ac:dyDescent="0.3">
      <c r="A461" s="2">
        <v>800645</v>
      </c>
      <c r="B461" s="10">
        <v>45647</v>
      </c>
      <c r="C461" s="2" t="s">
        <v>20</v>
      </c>
      <c r="D461" s="2" t="s">
        <v>74</v>
      </c>
      <c r="E461" s="2" t="s">
        <v>75</v>
      </c>
      <c r="F461" s="2" t="s">
        <v>46</v>
      </c>
      <c r="G461" s="2" t="s">
        <v>94</v>
      </c>
      <c r="H461" s="2" t="s">
        <v>25</v>
      </c>
      <c r="I461" s="2" t="s">
        <v>67</v>
      </c>
      <c r="J461" s="2" t="s">
        <v>85</v>
      </c>
      <c r="K461" s="2" t="s">
        <v>89</v>
      </c>
      <c r="L461" s="2" t="s">
        <v>73</v>
      </c>
      <c r="M461" s="2">
        <v>2</v>
      </c>
      <c r="N461" s="3">
        <v>1500000</v>
      </c>
      <c r="O461" s="3">
        <v>1486005.71</v>
      </c>
      <c r="P461" s="4">
        <v>10</v>
      </c>
      <c r="Q461" s="2">
        <v>0</v>
      </c>
      <c r="R461" s="3">
        <v>2972011.42</v>
      </c>
      <c r="S461" s="3">
        <v>297201.14</v>
      </c>
      <c r="T461" s="3">
        <v>2674810.2799999998</v>
      </c>
      <c r="U461" t="str">
        <f t="shared" si="7"/>
        <v>Achive</v>
      </c>
    </row>
    <row r="462" spans="1:21" x14ac:dyDescent="0.3">
      <c r="A462" s="2">
        <v>800148</v>
      </c>
      <c r="B462" s="10">
        <v>45648</v>
      </c>
      <c r="C462" s="2" t="s">
        <v>20</v>
      </c>
      <c r="D462" s="2" t="s">
        <v>30</v>
      </c>
      <c r="E462" s="2" t="s">
        <v>31</v>
      </c>
      <c r="F462" s="2" t="s">
        <v>41</v>
      </c>
      <c r="G462" s="2" t="s">
        <v>94</v>
      </c>
      <c r="H462" s="2" t="s">
        <v>25</v>
      </c>
      <c r="I462" s="2" t="s">
        <v>26</v>
      </c>
      <c r="J462" s="2" t="s">
        <v>57</v>
      </c>
      <c r="K462" s="2" t="s">
        <v>103</v>
      </c>
      <c r="L462" s="2" t="s">
        <v>73</v>
      </c>
      <c r="M462" s="2">
        <v>1</v>
      </c>
      <c r="N462" s="3">
        <v>800000</v>
      </c>
      <c r="O462" s="3">
        <v>788906.43</v>
      </c>
      <c r="P462" s="4">
        <v>2</v>
      </c>
      <c r="Q462" s="2">
        <v>0</v>
      </c>
      <c r="R462" s="3">
        <v>788906.43</v>
      </c>
      <c r="S462" s="3">
        <v>15778.13</v>
      </c>
      <c r="T462" s="3">
        <v>773128.3</v>
      </c>
      <c r="U462" t="str">
        <f t="shared" si="7"/>
        <v>Not achive</v>
      </c>
    </row>
    <row r="463" spans="1:21" x14ac:dyDescent="0.3">
      <c r="A463" s="2">
        <v>800159</v>
      </c>
      <c r="B463" s="10">
        <v>45648</v>
      </c>
      <c r="C463" s="2" t="s">
        <v>38</v>
      </c>
      <c r="D463" s="2" t="s">
        <v>79</v>
      </c>
      <c r="E463" s="2" t="s">
        <v>133</v>
      </c>
      <c r="F463" s="2" t="s">
        <v>32</v>
      </c>
      <c r="G463" s="2" t="s">
        <v>94</v>
      </c>
      <c r="H463" s="2" t="s">
        <v>25</v>
      </c>
      <c r="I463" s="2" t="s">
        <v>67</v>
      </c>
      <c r="J463" s="2" t="s">
        <v>85</v>
      </c>
      <c r="K463" s="2" t="s">
        <v>91</v>
      </c>
      <c r="L463" s="2" t="s">
        <v>29</v>
      </c>
      <c r="M463" s="2">
        <v>1</v>
      </c>
      <c r="N463" s="3">
        <v>1500000</v>
      </c>
      <c r="O463" s="3">
        <v>1457918.55</v>
      </c>
      <c r="P463" s="4">
        <v>7.5</v>
      </c>
      <c r="Q463" s="2">
        <v>0</v>
      </c>
      <c r="R463" s="3">
        <v>1457918.55</v>
      </c>
      <c r="S463" s="3">
        <v>109343.89</v>
      </c>
      <c r="T463" s="3">
        <v>1348574.66</v>
      </c>
      <c r="U463" t="str">
        <f t="shared" si="7"/>
        <v>Not achive</v>
      </c>
    </row>
    <row r="464" spans="1:21" x14ac:dyDescent="0.3">
      <c r="A464" s="2">
        <v>800042</v>
      </c>
      <c r="B464" s="10">
        <v>45649</v>
      </c>
      <c r="C464" s="2" t="s">
        <v>20</v>
      </c>
      <c r="D464" s="2" t="s">
        <v>30</v>
      </c>
      <c r="E464" s="2" t="s">
        <v>88</v>
      </c>
      <c r="F464" s="2" t="s">
        <v>46</v>
      </c>
      <c r="G464" s="2" t="s">
        <v>33</v>
      </c>
      <c r="H464" s="2" t="s">
        <v>25</v>
      </c>
      <c r="I464" s="2" t="s">
        <v>43</v>
      </c>
      <c r="J464" s="2" t="s">
        <v>44</v>
      </c>
      <c r="K464" s="2" t="s">
        <v>129</v>
      </c>
      <c r="L464" s="2" t="s">
        <v>37</v>
      </c>
      <c r="M464" s="2">
        <v>3</v>
      </c>
      <c r="N464" s="3">
        <v>800000</v>
      </c>
      <c r="O464" s="3">
        <v>806071.07</v>
      </c>
      <c r="P464" s="4">
        <v>5</v>
      </c>
      <c r="Q464" s="2">
        <v>0</v>
      </c>
      <c r="R464" s="3">
        <v>2418213.21</v>
      </c>
      <c r="S464" s="3">
        <v>120910.66</v>
      </c>
      <c r="T464" s="3">
        <v>2297302.5499999998</v>
      </c>
      <c r="U464" t="str">
        <f t="shared" si="7"/>
        <v>Achive</v>
      </c>
    </row>
    <row r="465" spans="1:21" x14ac:dyDescent="0.3">
      <c r="A465" s="2">
        <v>800371</v>
      </c>
      <c r="B465" s="10">
        <v>45650</v>
      </c>
      <c r="C465" s="2" t="s">
        <v>38</v>
      </c>
      <c r="D465" s="2" t="s">
        <v>79</v>
      </c>
      <c r="E465" s="2" t="s">
        <v>138</v>
      </c>
      <c r="F465" s="2" t="s">
        <v>65</v>
      </c>
      <c r="G465" s="2" t="s">
        <v>66</v>
      </c>
      <c r="H465" s="2" t="s">
        <v>25</v>
      </c>
      <c r="I465" s="2" t="s">
        <v>67</v>
      </c>
      <c r="J465" s="2" t="s">
        <v>112</v>
      </c>
      <c r="K465" s="2" t="s">
        <v>58</v>
      </c>
      <c r="L465" s="2" t="s">
        <v>122</v>
      </c>
      <c r="M465" s="2">
        <v>2</v>
      </c>
      <c r="N465" s="3">
        <v>1250000</v>
      </c>
      <c r="O465" s="3">
        <v>1236591.3700000001</v>
      </c>
      <c r="P465" s="4">
        <v>0</v>
      </c>
      <c r="Q465" s="2">
        <v>1</v>
      </c>
      <c r="R465" s="3">
        <v>2473182.7400000002</v>
      </c>
      <c r="S465" s="3">
        <v>0</v>
      </c>
      <c r="T465" s="3">
        <v>2473182.7400000002</v>
      </c>
      <c r="U465" t="str">
        <f t="shared" si="7"/>
        <v>Achive</v>
      </c>
    </row>
    <row r="466" spans="1:21" x14ac:dyDescent="0.3">
      <c r="A466" s="2">
        <v>800532</v>
      </c>
      <c r="B466" s="10">
        <v>45650</v>
      </c>
      <c r="C466" s="2" t="s">
        <v>20</v>
      </c>
      <c r="D466" s="2" t="s">
        <v>21</v>
      </c>
      <c r="E466" s="2" t="s">
        <v>22</v>
      </c>
      <c r="F466" s="2" t="s">
        <v>46</v>
      </c>
      <c r="G466" s="2" t="s">
        <v>47</v>
      </c>
      <c r="H466" s="2" t="s">
        <v>25</v>
      </c>
      <c r="I466" s="2" t="s">
        <v>67</v>
      </c>
      <c r="J466" s="2" t="s">
        <v>112</v>
      </c>
      <c r="K466" s="2" t="s">
        <v>58</v>
      </c>
      <c r="L466" s="2" t="s">
        <v>92</v>
      </c>
      <c r="M466" s="2">
        <v>1</v>
      </c>
      <c r="N466" s="3">
        <v>1250000</v>
      </c>
      <c r="O466" s="3">
        <v>1248632.5900000001</v>
      </c>
      <c r="P466" s="4">
        <v>2</v>
      </c>
      <c r="Q466" s="2">
        <v>0</v>
      </c>
      <c r="R466" s="3">
        <v>1248632.5900000001</v>
      </c>
      <c r="S466" s="3">
        <v>24972.65</v>
      </c>
      <c r="T466" s="3">
        <v>1223659.94</v>
      </c>
      <c r="U466" t="str">
        <f t="shared" si="7"/>
        <v>Not achive</v>
      </c>
    </row>
    <row r="467" spans="1:21" x14ac:dyDescent="0.3">
      <c r="A467" s="2">
        <v>800626</v>
      </c>
      <c r="B467" s="10">
        <v>45650</v>
      </c>
      <c r="C467" s="2" t="s">
        <v>51</v>
      </c>
      <c r="D467" s="2" t="s">
        <v>55</v>
      </c>
      <c r="E467" s="2" t="s">
        <v>104</v>
      </c>
      <c r="F467" s="2" t="s">
        <v>23</v>
      </c>
      <c r="G467" s="2" t="s">
        <v>61</v>
      </c>
      <c r="H467" s="2" t="s">
        <v>25</v>
      </c>
      <c r="I467" s="2" t="s">
        <v>43</v>
      </c>
      <c r="J467" s="2" t="s">
        <v>101</v>
      </c>
      <c r="K467" s="2" t="s">
        <v>102</v>
      </c>
      <c r="L467" s="2" t="s">
        <v>78</v>
      </c>
      <c r="M467" s="2">
        <v>2</v>
      </c>
      <c r="N467" s="3">
        <v>1000000</v>
      </c>
      <c r="O467" s="3">
        <v>1019209.31</v>
      </c>
      <c r="P467" s="4">
        <v>5</v>
      </c>
      <c r="Q467" s="2">
        <v>0</v>
      </c>
      <c r="R467" s="3">
        <v>2038418.62</v>
      </c>
      <c r="S467" s="3">
        <v>101920.93</v>
      </c>
      <c r="T467" s="3">
        <v>1936497.69</v>
      </c>
      <c r="U467" t="str">
        <f t="shared" si="7"/>
        <v>Not achive</v>
      </c>
    </row>
    <row r="468" spans="1:21" x14ac:dyDescent="0.3">
      <c r="A468" s="2">
        <v>800401</v>
      </c>
      <c r="B468" s="10">
        <v>45651</v>
      </c>
      <c r="C468" s="2" t="s">
        <v>38</v>
      </c>
      <c r="D468" s="2" t="s">
        <v>39</v>
      </c>
      <c r="E468" s="2" t="s">
        <v>126</v>
      </c>
      <c r="F468" s="2" t="s">
        <v>46</v>
      </c>
      <c r="G468" s="2" t="s">
        <v>72</v>
      </c>
      <c r="H468" s="2" t="s">
        <v>25</v>
      </c>
      <c r="I468" s="2" t="s">
        <v>26</v>
      </c>
      <c r="J468" s="2" t="s">
        <v>27</v>
      </c>
      <c r="K468" s="2" t="s">
        <v>58</v>
      </c>
      <c r="L468" s="2" t="s">
        <v>50</v>
      </c>
      <c r="M468" s="2">
        <v>2</v>
      </c>
      <c r="N468" s="3">
        <v>750000</v>
      </c>
      <c r="O468" s="3">
        <v>748066.27</v>
      </c>
      <c r="P468" s="4">
        <v>0</v>
      </c>
      <c r="Q468" s="2">
        <v>0</v>
      </c>
      <c r="R468" s="3">
        <v>1496132.54</v>
      </c>
      <c r="S468" s="3">
        <v>0</v>
      </c>
      <c r="T468" s="3">
        <v>1496132.54</v>
      </c>
      <c r="U468" t="str">
        <f t="shared" si="7"/>
        <v>Not achive</v>
      </c>
    </row>
    <row r="469" spans="1:21" x14ac:dyDescent="0.3">
      <c r="A469" s="2">
        <v>800494</v>
      </c>
      <c r="B469" s="10">
        <v>45652</v>
      </c>
      <c r="C469" s="2" t="s">
        <v>20</v>
      </c>
      <c r="D469" s="2" t="s">
        <v>30</v>
      </c>
      <c r="E469" s="2" t="s">
        <v>88</v>
      </c>
      <c r="F469" s="2" t="s">
        <v>41</v>
      </c>
      <c r="G469" s="2" t="s">
        <v>116</v>
      </c>
      <c r="H469" s="2" t="s">
        <v>25</v>
      </c>
      <c r="I469" s="2" t="s">
        <v>67</v>
      </c>
      <c r="J469" s="2" t="s">
        <v>112</v>
      </c>
      <c r="K469" s="2" t="s">
        <v>99</v>
      </c>
      <c r="L469" s="2" t="s">
        <v>123</v>
      </c>
      <c r="M469" s="2">
        <v>1</v>
      </c>
      <c r="N469" s="3">
        <v>1250000</v>
      </c>
      <c r="O469" s="3">
        <v>1248766.8</v>
      </c>
      <c r="P469" s="4">
        <v>0</v>
      </c>
      <c r="Q469" s="2">
        <v>0</v>
      </c>
      <c r="R469" s="3">
        <v>1248766.8</v>
      </c>
      <c r="S469" s="3">
        <v>0</v>
      </c>
      <c r="T469" s="3">
        <v>1248766.8</v>
      </c>
      <c r="U469" t="str">
        <f t="shared" si="7"/>
        <v>Not achive</v>
      </c>
    </row>
    <row r="470" spans="1:21" x14ac:dyDescent="0.3">
      <c r="A470" s="2">
        <v>800625</v>
      </c>
      <c r="B470" s="10">
        <v>45652</v>
      </c>
      <c r="C470" s="2" t="s">
        <v>69</v>
      </c>
      <c r="D470" s="2" t="s">
        <v>70</v>
      </c>
      <c r="E470" s="2" t="s">
        <v>136</v>
      </c>
      <c r="F470" s="2" t="s">
        <v>23</v>
      </c>
      <c r="G470" s="2" t="s">
        <v>61</v>
      </c>
      <c r="H470" s="2" t="s">
        <v>25</v>
      </c>
      <c r="I470" s="2" t="s">
        <v>26</v>
      </c>
      <c r="J470" s="2" t="s">
        <v>127</v>
      </c>
      <c r="K470" s="2" t="s">
        <v>99</v>
      </c>
      <c r="L470" s="2" t="s">
        <v>123</v>
      </c>
      <c r="M470" s="2">
        <v>2</v>
      </c>
      <c r="N470" s="3">
        <v>650000</v>
      </c>
      <c r="O470" s="3">
        <v>652484.30000000005</v>
      </c>
      <c r="P470" s="4">
        <v>0</v>
      </c>
      <c r="Q470" s="2">
        <v>0</v>
      </c>
      <c r="R470" s="3">
        <v>1304968.6000000001</v>
      </c>
      <c r="S470" s="3">
        <v>0</v>
      </c>
      <c r="T470" s="3">
        <v>1304968.6000000001</v>
      </c>
      <c r="U470" t="str">
        <f t="shared" si="7"/>
        <v>Not achive</v>
      </c>
    </row>
    <row r="471" spans="1:21" x14ac:dyDescent="0.3">
      <c r="A471" s="2">
        <v>800057</v>
      </c>
      <c r="B471" s="10">
        <v>45654</v>
      </c>
      <c r="C471" s="2" t="s">
        <v>20</v>
      </c>
      <c r="D471" s="2" t="s">
        <v>21</v>
      </c>
      <c r="E471" s="2" t="s">
        <v>98</v>
      </c>
      <c r="F471" s="2" t="s">
        <v>65</v>
      </c>
      <c r="G471" s="2" t="s">
        <v>90</v>
      </c>
      <c r="H471" s="2" t="s">
        <v>25</v>
      </c>
      <c r="I471" s="2" t="s">
        <v>67</v>
      </c>
      <c r="J471" s="2" t="s">
        <v>85</v>
      </c>
      <c r="K471" s="2" t="s">
        <v>91</v>
      </c>
      <c r="L471" s="2" t="s">
        <v>122</v>
      </c>
      <c r="M471" s="2">
        <v>2</v>
      </c>
      <c r="N471" s="3">
        <v>1500000</v>
      </c>
      <c r="O471" s="3">
        <v>1504797</v>
      </c>
      <c r="P471" s="4">
        <v>7.5</v>
      </c>
      <c r="Q471" s="2">
        <v>0</v>
      </c>
      <c r="R471" s="3">
        <v>3009594</v>
      </c>
      <c r="S471" s="3">
        <v>225719.55</v>
      </c>
      <c r="T471" s="3">
        <v>2783874.45</v>
      </c>
      <c r="U471" t="str">
        <f t="shared" si="7"/>
        <v>Achive</v>
      </c>
    </row>
    <row r="472" spans="1:21" x14ac:dyDescent="0.3">
      <c r="A472" s="2">
        <v>800082</v>
      </c>
      <c r="B472" s="10">
        <v>45654</v>
      </c>
      <c r="C472" s="2" t="s">
        <v>51</v>
      </c>
      <c r="D472" s="2" t="s">
        <v>110</v>
      </c>
      <c r="E472" s="2" t="s">
        <v>134</v>
      </c>
      <c r="F472" s="2" t="s">
        <v>65</v>
      </c>
      <c r="G472" s="2" t="s">
        <v>116</v>
      </c>
      <c r="H472" s="2" t="s">
        <v>25</v>
      </c>
      <c r="I472" s="2" t="s">
        <v>26</v>
      </c>
      <c r="J472" s="2" t="s">
        <v>127</v>
      </c>
      <c r="K472" s="2" t="s">
        <v>130</v>
      </c>
      <c r="L472" s="2" t="s">
        <v>29</v>
      </c>
      <c r="M472" s="2">
        <v>2</v>
      </c>
      <c r="N472" s="3">
        <v>650000</v>
      </c>
      <c r="O472" s="3">
        <v>642150.06000000006</v>
      </c>
      <c r="P472" s="4">
        <v>10</v>
      </c>
      <c r="Q472" s="2">
        <v>0</v>
      </c>
      <c r="R472" s="3">
        <v>1284300.1200000001</v>
      </c>
      <c r="S472" s="3">
        <v>128430.01</v>
      </c>
      <c r="T472" s="3">
        <v>1155870.1100000001</v>
      </c>
      <c r="U472" t="str">
        <f t="shared" si="7"/>
        <v>Not achive</v>
      </c>
    </row>
    <row r="473" spans="1:21" x14ac:dyDescent="0.3">
      <c r="A473" s="2">
        <v>800502</v>
      </c>
      <c r="B473" s="10">
        <v>45654</v>
      </c>
      <c r="C473" s="2" t="s">
        <v>20</v>
      </c>
      <c r="D473" s="2" t="s">
        <v>74</v>
      </c>
      <c r="E473" s="2" t="s">
        <v>113</v>
      </c>
      <c r="F473" s="2" t="s">
        <v>23</v>
      </c>
      <c r="G473" s="2" t="s">
        <v>33</v>
      </c>
      <c r="H473" s="2" t="s">
        <v>25</v>
      </c>
      <c r="I473" s="2" t="s">
        <v>34</v>
      </c>
      <c r="J473" s="2" t="s">
        <v>35</v>
      </c>
      <c r="K473" s="2" t="s">
        <v>45</v>
      </c>
      <c r="L473" s="2" t="s">
        <v>87</v>
      </c>
      <c r="M473" s="2">
        <v>6</v>
      </c>
      <c r="N473" s="3">
        <v>550000</v>
      </c>
      <c r="O473" s="3">
        <v>552904.21</v>
      </c>
      <c r="P473" s="4">
        <v>12.5</v>
      </c>
      <c r="Q473" s="2">
        <v>0</v>
      </c>
      <c r="R473" s="3">
        <v>3317425.26</v>
      </c>
      <c r="S473" s="3">
        <v>414678.16</v>
      </c>
      <c r="T473" s="3">
        <v>2902747.1</v>
      </c>
      <c r="U473" t="str">
        <f t="shared" si="7"/>
        <v>Achive</v>
      </c>
    </row>
    <row r="474" spans="1:21" x14ac:dyDescent="0.3">
      <c r="A474" s="2">
        <v>800013</v>
      </c>
      <c r="B474" s="10">
        <v>45655</v>
      </c>
      <c r="C474" s="2" t="s">
        <v>38</v>
      </c>
      <c r="D474" s="2" t="s">
        <v>118</v>
      </c>
      <c r="E474" s="2" t="s">
        <v>119</v>
      </c>
      <c r="F474" s="2" t="s">
        <v>41</v>
      </c>
      <c r="G474" s="2" t="s">
        <v>90</v>
      </c>
      <c r="H474" s="2" t="s">
        <v>25</v>
      </c>
      <c r="I474" s="2" t="s">
        <v>43</v>
      </c>
      <c r="J474" s="2" t="s">
        <v>101</v>
      </c>
      <c r="K474" s="2" t="s">
        <v>45</v>
      </c>
      <c r="L474" s="2" t="s">
        <v>50</v>
      </c>
      <c r="M474" s="2">
        <v>6</v>
      </c>
      <c r="N474" s="3">
        <v>1000000</v>
      </c>
      <c r="O474" s="3">
        <v>994299.52</v>
      </c>
      <c r="P474" s="4">
        <v>0</v>
      </c>
      <c r="Q474" s="2">
        <v>0</v>
      </c>
      <c r="R474" s="3">
        <v>5965797.1200000001</v>
      </c>
      <c r="S474" s="3">
        <v>0</v>
      </c>
      <c r="T474" s="3">
        <v>5965797.1200000001</v>
      </c>
      <c r="U474" t="str">
        <f t="shared" si="7"/>
        <v>Achive</v>
      </c>
    </row>
    <row r="475" spans="1:21" x14ac:dyDescent="0.3">
      <c r="A475" s="2">
        <v>800164</v>
      </c>
      <c r="B475" s="10">
        <v>45655</v>
      </c>
      <c r="C475" s="2" t="s">
        <v>69</v>
      </c>
      <c r="D475" s="2" t="s">
        <v>83</v>
      </c>
      <c r="E475" s="2" t="s">
        <v>97</v>
      </c>
      <c r="F475" s="2" t="s">
        <v>32</v>
      </c>
      <c r="G475" s="2" t="s">
        <v>24</v>
      </c>
      <c r="H475" s="2" t="s">
        <v>25</v>
      </c>
      <c r="I475" s="2" t="s">
        <v>26</v>
      </c>
      <c r="J475" s="2" t="s">
        <v>81</v>
      </c>
      <c r="K475" s="2" t="s">
        <v>77</v>
      </c>
      <c r="L475" s="2" t="s">
        <v>59</v>
      </c>
      <c r="M475" s="2">
        <v>2</v>
      </c>
      <c r="N475" s="3">
        <v>1700000</v>
      </c>
      <c r="O475" s="3">
        <v>1675668.97</v>
      </c>
      <c r="P475" s="4">
        <v>0</v>
      </c>
      <c r="Q475" s="2">
        <v>0</v>
      </c>
      <c r="R475" s="3">
        <v>3351337.94</v>
      </c>
      <c r="S475" s="3">
        <v>0</v>
      </c>
      <c r="T475" s="3">
        <v>3351337.94</v>
      </c>
      <c r="U475" t="str">
        <f t="shared" si="7"/>
        <v>Achive</v>
      </c>
    </row>
    <row r="476" spans="1:21" x14ac:dyDescent="0.3">
      <c r="A476" s="2">
        <v>800541</v>
      </c>
      <c r="B476" s="10">
        <v>45655</v>
      </c>
      <c r="C476" s="2" t="s">
        <v>20</v>
      </c>
      <c r="D476" s="2" t="s">
        <v>74</v>
      </c>
      <c r="E476" s="2" t="s">
        <v>75</v>
      </c>
      <c r="F476" s="2" t="s">
        <v>41</v>
      </c>
      <c r="G476" s="2" t="s">
        <v>24</v>
      </c>
      <c r="H476" s="2" t="s">
        <v>25</v>
      </c>
      <c r="I476" s="2" t="s">
        <v>26</v>
      </c>
      <c r="J476" s="2" t="s">
        <v>105</v>
      </c>
      <c r="K476" s="2" t="s">
        <v>89</v>
      </c>
      <c r="L476" s="2" t="s">
        <v>37</v>
      </c>
      <c r="M476" s="2">
        <v>3</v>
      </c>
      <c r="N476" s="3">
        <v>950000</v>
      </c>
      <c r="O476" s="3">
        <v>946517.42</v>
      </c>
      <c r="P476" s="4">
        <v>0</v>
      </c>
      <c r="Q476" s="2">
        <v>0</v>
      </c>
      <c r="R476" s="3">
        <v>2839552.26</v>
      </c>
      <c r="S476" s="3">
        <v>0</v>
      </c>
      <c r="T476" s="3">
        <v>2839552.26</v>
      </c>
      <c r="U476" t="str">
        <f t="shared" si="7"/>
        <v>Achive</v>
      </c>
    </row>
    <row r="477" spans="1:21" x14ac:dyDescent="0.3">
      <c r="A477" s="2">
        <v>800215</v>
      </c>
      <c r="B477" s="10">
        <v>45656</v>
      </c>
      <c r="C477" s="2" t="s">
        <v>38</v>
      </c>
      <c r="D477" s="2" t="s">
        <v>79</v>
      </c>
      <c r="E477" s="2" t="s">
        <v>80</v>
      </c>
      <c r="F477" s="2" t="s">
        <v>46</v>
      </c>
      <c r="G477" s="2" t="s">
        <v>33</v>
      </c>
      <c r="H477" s="2" t="s">
        <v>25</v>
      </c>
      <c r="I477" s="2" t="s">
        <v>67</v>
      </c>
      <c r="J477" s="2" t="s">
        <v>85</v>
      </c>
      <c r="K477" s="2" t="s">
        <v>86</v>
      </c>
      <c r="L477" s="2" t="s">
        <v>50</v>
      </c>
      <c r="M477" s="2">
        <v>2</v>
      </c>
      <c r="N477" s="3">
        <v>1500000</v>
      </c>
      <c r="O477" s="3">
        <v>1529302.55</v>
      </c>
      <c r="P477" s="4">
        <v>12.5</v>
      </c>
      <c r="Q477" s="2">
        <v>0</v>
      </c>
      <c r="R477" s="3">
        <v>3058605.1</v>
      </c>
      <c r="S477" s="3">
        <v>382325.64</v>
      </c>
      <c r="T477" s="3">
        <v>2676279.46</v>
      </c>
      <c r="U477" t="str">
        <f t="shared" si="7"/>
        <v>Achive</v>
      </c>
    </row>
    <row r="478" spans="1:21" x14ac:dyDescent="0.3">
      <c r="A478" s="2">
        <v>800010</v>
      </c>
      <c r="B478" s="10">
        <v>45657</v>
      </c>
      <c r="C478" s="2" t="s">
        <v>51</v>
      </c>
      <c r="D478" s="2" t="s">
        <v>110</v>
      </c>
      <c r="E478" s="2" t="s">
        <v>124</v>
      </c>
      <c r="F478" s="2" t="s">
        <v>32</v>
      </c>
      <c r="G478" s="2" t="s">
        <v>66</v>
      </c>
      <c r="H478" s="2" t="s">
        <v>25</v>
      </c>
      <c r="I478" s="2" t="s">
        <v>67</v>
      </c>
      <c r="J478" s="2" t="s">
        <v>108</v>
      </c>
      <c r="K478" s="2" t="s">
        <v>62</v>
      </c>
      <c r="L478" s="2" t="s">
        <v>59</v>
      </c>
      <c r="M478" s="2">
        <v>1</v>
      </c>
      <c r="N478" s="3">
        <v>1800000</v>
      </c>
      <c r="O478" s="3">
        <v>1807225.51</v>
      </c>
      <c r="P478" s="4">
        <v>0</v>
      </c>
      <c r="Q478" s="2">
        <v>0</v>
      </c>
      <c r="R478" s="3">
        <v>1807225.51</v>
      </c>
      <c r="S478" s="3">
        <v>0</v>
      </c>
      <c r="T478" s="3">
        <v>1807225.51</v>
      </c>
      <c r="U478" t="str">
        <f t="shared" si="7"/>
        <v>Not achive</v>
      </c>
    </row>
    <row r="479" spans="1:21" x14ac:dyDescent="0.3">
      <c r="A479" s="2">
        <v>800033</v>
      </c>
      <c r="B479" s="10">
        <v>45657</v>
      </c>
      <c r="C479" s="2" t="s">
        <v>69</v>
      </c>
      <c r="D479" s="2" t="s">
        <v>95</v>
      </c>
      <c r="E479" s="2" t="s">
        <v>96</v>
      </c>
      <c r="F479" s="2" t="s">
        <v>46</v>
      </c>
      <c r="G479" s="2" t="s">
        <v>72</v>
      </c>
      <c r="H479" s="2" t="s">
        <v>25</v>
      </c>
      <c r="I479" s="2" t="s">
        <v>26</v>
      </c>
      <c r="J479" s="2" t="s">
        <v>105</v>
      </c>
      <c r="K479" s="2" t="s">
        <v>89</v>
      </c>
      <c r="L479" s="2" t="s">
        <v>50</v>
      </c>
      <c r="M479" s="2">
        <v>2</v>
      </c>
      <c r="N479" s="3">
        <v>950000</v>
      </c>
      <c r="O479" s="3">
        <v>938179.44</v>
      </c>
      <c r="P479" s="4">
        <v>10</v>
      </c>
      <c r="Q479" s="2">
        <v>0</v>
      </c>
      <c r="R479" s="3">
        <v>1876358.88</v>
      </c>
      <c r="S479" s="3">
        <v>187635.89</v>
      </c>
      <c r="T479" s="3">
        <v>1688722.99</v>
      </c>
      <c r="U479" t="str">
        <f t="shared" si="7"/>
        <v>Not achive</v>
      </c>
    </row>
    <row r="480" spans="1:21" x14ac:dyDescent="0.3">
      <c r="A480" s="2">
        <v>800058</v>
      </c>
      <c r="B480" s="10">
        <v>45657</v>
      </c>
      <c r="C480" s="2" t="s">
        <v>38</v>
      </c>
      <c r="D480" s="2" t="s">
        <v>63</v>
      </c>
      <c r="E480" s="2" t="s">
        <v>64</v>
      </c>
      <c r="F480" s="2" t="s">
        <v>65</v>
      </c>
      <c r="G480" s="2" t="s">
        <v>33</v>
      </c>
      <c r="H480" s="2" t="s">
        <v>25</v>
      </c>
      <c r="I480" s="2" t="s">
        <v>26</v>
      </c>
      <c r="J480" s="2" t="s">
        <v>48</v>
      </c>
      <c r="K480" s="2" t="s">
        <v>89</v>
      </c>
      <c r="L480" s="2" t="s">
        <v>78</v>
      </c>
      <c r="M480" s="2">
        <v>2</v>
      </c>
      <c r="N480" s="3">
        <v>1200000</v>
      </c>
      <c r="O480" s="3">
        <v>1177832.28</v>
      </c>
      <c r="P480" s="4">
        <v>2</v>
      </c>
      <c r="Q480" s="2">
        <v>0</v>
      </c>
      <c r="R480" s="3">
        <v>2355664.56</v>
      </c>
      <c r="S480" s="3">
        <v>47113.29</v>
      </c>
      <c r="T480" s="3">
        <v>2308551.27</v>
      </c>
      <c r="U480" t="str">
        <f t="shared" si="7"/>
        <v>Achive</v>
      </c>
    </row>
    <row r="481" spans="1:21" x14ac:dyDescent="0.3">
      <c r="A481" s="2">
        <v>800343</v>
      </c>
      <c r="B481" s="10">
        <v>45657</v>
      </c>
      <c r="C481" s="2" t="s">
        <v>38</v>
      </c>
      <c r="D481" s="2" t="s">
        <v>63</v>
      </c>
      <c r="E481" s="2" t="s">
        <v>64</v>
      </c>
      <c r="F481" s="2" t="s">
        <v>41</v>
      </c>
      <c r="G481" s="2" t="s">
        <v>33</v>
      </c>
      <c r="H481" s="2" t="s">
        <v>25</v>
      </c>
      <c r="I481" s="2" t="s">
        <v>26</v>
      </c>
      <c r="J481" s="2" t="s">
        <v>105</v>
      </c>
      <c r="K481" s="2" t="s">
        <v>82</v>
      </c>
      <c r="L481" s="2" t="s">
        <v>122</v>
      </c>
      <c r="M481" s="2">
        <v>1</v>
      </c>
      <c r="N481" s="3">
        <v>950000</v>
      </c>
      <c r="O481" s="3">
        <v>946228.8</v>
      </c>
      <c r="P481" s="4">
        <v>0</v>
      </c>
      <c r="Q481" s="2">
        <v>0</v>
      </c>
      <c r="R481" s="3">
        <v>946228.8</v>
      </c>
      <c r="S481" s="3">
        <v>0</v>
      </c>
      <c r="T481" s="3">
        <v>946228.8</v>
      </c>
      <c r="U481" t="str">
        <f t="shared" si="7"/>
        <v>Not achive</v>
      </c>
    </row>
    <row r="482" spans="1:21" x14ac:dyDescent="0.3">
      <c r="A482" s="2">
        <v>800517</v>
      </c>
      <c r="B482" s="10">
        <v>45657</v>
      </c>
      <c r="C482" s="2" t="s">
        <v>51</v>
      </c>
      <c r="D482" s="2" t="s">
        <v>55</v>
      </c>
      <c r="E482" s="2" t="s">
        <v>56</v>
      </c>
      <c r="F482" s="2" t="s">
        <v>65</v>
      </c>
      <c r="G482" s="2" t="s">
        <v>33</v>
      </c>
      <c r="H482" s="2" t="s">
        <v>25</v>
      </c>
      <c r="I482" s="2" t="s">
        <v>26</v>
      </c>
      <c r="J482" s="2" t="s">
        <v>127</v>
      </c>
      <c r="K482" s="2" t="s">
        <v>130</v>
      </c>
      <c r="L482" s="2" t="s">
        <v>50</v>
      </c>
      <c r="M482" s="2">
        <v>1</v>
      </c>
      <c r="N482" s="3">
        <v>650000</v>
      </c>
      <c r="O482" s="3">
        <v>656730.87</v>
      </c>
      <c r="P482" s="4">
        <v>12.5</v>
      </c>
      <c r="Q482" s="2">
        <v>0</v>
      </c>
      <c r="R482" s="3">
        <v>656730.87</v>
      </c>
      <c r="S482" s="3">
        <v>82091.360000000001</v>
      </c>
      <c r="T482" s="3">
        <v>574639.51</v>
      </c>
      <c r="U482" t="str">
        <f t="shared" si="7"/>
        <v>Not achive</v>
      </c>
    </row>
    <row r="483" spans="1:21" x14ac:dyDescent="0.3">
      <c r="A483" s="2">
        <v>800053</v>
      </c>
      <c r="B483" s="10">
        <v>45658</v>
      </c>
      <c r="C483" s="2" t="s">
        <v>51</v>
      </c>
      <c r="D483" s="2" t="s">
        <v>110</v>
      </c>
      <c r="E483" s="2" t="s">
        <v>124</v>
      </c>
      <c r="F483" s="2" t="s">
        <v>23</v>
      </c>
      <c r="G483" s="2" t="s">
        <v>33</v>
      </c>
      <c r="H483" s="2" t="s">
        <v>25</v>
      </c>
      <c r="I483" s="2" t="s">
        <v>26</v>
      </c>
      <c r="J483" s="2" t="s">
        <v>57</v>
      </c>
      <c r="K483" s="2" t="s">
        <v>103</v>
      </c>
      <c r="L483" s="2" t="s">
        <v>73</v>
      </c>
      <c r="M483" s="2">
        <v>3</v>
      </c>
      <c r="N483" s="3">
        <v>800000</v>
      </c>
      <c r="O483" s="3">
        <v>796869.87</v>
      </c>
      <c r="P483" s="4">
        <v>5</v>
      </c>
      <c r="Q483" s="2">
        <v>0</v>
      </c>
      <c r="R483" s="3">
        <v>2390609.61</v>
      </c>
      <c r="S483" s="3">
        <v>119530.48</v>
      </c>
      <c r="T483" s="3">
        <v>2271079.13</v>
      </c>
      <c r="U483" t="str">
        <f t="shared" si="7"/>
        <v>Achive</v>
      </c>
    </row>
    <row r="484" spans="1:21" x14ac:dyDescent="0.3">
      <c r="A484" s="2">
        <v>800167</v>
      </c>
      <c r="B484" s="10">
        <v>45658</v>
      </c>
      <c r="C484" s="2" t="s">
        <v>38</v>
      </c>
      <c r="D484" s="2" t="s">
        <v>79</v>
      </c>
      <c r="E484" s="2" t="s">
        <v>80</v>
      </c>
      <c r="F484" s="2" t="s">
        <v>41</v>
      </c>
      <c r="G484" s="2" t="s">
        <v>47</v>
      </c>
      <c r="H484" s="2" t="s">
        <v>25</v>
      </c>
      <c r="I484" s="2" t="s">
        <v>26</v>
      </c>
      <c r="J484" s="2" t="s">
        <v>120</v>
      </c>
      <c r="K484" s="2" t="s">
        <v>49</v>
      </c>
      <c r="L484" s="2" t="s">
        <v>123</v>
      </c>
      <c r="M484" s="2">
        <v>2</v>
      </c>
      <c r="N484" s="3">
        <v>1900000</v>
      </c>
      <c r="O484" s="3">
        <v>1905317.34</v>
      </c>
      <c r="P484" s="4">
        <v>12.5</v>
      </c>
      <c r="Q484" s="2">
        <v>0</v>
      </c>
      <c r="R484" s="3">
        <v>3810634.68</v>
      </c>
      <c r="S484" s="3">
        <v>476329.34</v>
      </c>
      <c r="T484" s="3">
        <v>3334305.34</v>
      </c>
      <c r="U484" t="str">
        <f t="shared" si="7"/>
        <v>Achive</v>
      </c>
    </row>
    <row r="485" spans="1:21" x14ac:dyDescent="0.3">
      <c r="A485" s="2">
        <v>800439</v>
      </c>
      <c r="B485" s="10">
        <v>45658</v>
      </c>
      <c r="C485" s="2" t="s">
        <v>69</v>
      </c>
      <c r="D485" s="2" t="s">
        <v>70</v>
      </c>
      <c r="E485" s="2" t="s">
        <v>71</v>
      </c>
      <c r="F485" s="2" t="s">
        <v>65</v>
      </c>
      <c r="G485" s="2" t="s">
        <v>33</v>
      </c>
      <c r="H485" s="2" t="s">
        <v>25</v>
      </c>
      <c r="I485" s="2" t="s">
        <v>34</v>
      </c>
      <c r="J485" s="2" t="s">
        <v>35</v>
      </c>
      <c r="K485" s="2" t="s">
        <v>45</v>
      </c>
      <c r="L485" s="2" t="s">
        <v>78</v>
      </c>
      <c r="M485" s="2">
        <v>4</v>
      </c>
      <c r="N485" s="3">
        <v>550000</v>
      </c>
      <c r="O485" s="3">
        <v>546457.73</v>
      </c>
      <c r="P485" s="4">
        <v>7.5</v>
      </c>
      <c r="Q485" s="2">
        <v>0</v>
      </c>
      <c r="R485" s="3">
        <v>2185830.92</v>
      </c>
      <c r="S485" s="3">
        <v>163937.32</v>
      </c>
      <c r="T485" s="3">
        <v>2021893.6</v>
      </c>
      <c r="U485" t="str">
        <f t="shared" si="7"/>
        <v>Achive</v>
      </c>
    </row>
    <row r="486" spans="1:21" x14ac:dyDescent="0.3">
      <c r="A486" s="2">
        <v>800048</v>
      </c>
      <c r="B486" s="10">
        <v>45659</v>
      </c>
      <c r="C486" s="2" t="s">
        <v>20</v>
      </c>
      <c r="D486" s="2" t="s">
        <v>74</v>
      </c>
      <c r="E486" s="2" t="s">
        <v>75</v>
      </c>
      <c r="F486" s="2" t="s">
        <v>23</v>
      </c>
      <c r="G486" s="2" t="s">
        <v>24</v>
      </c>
      <c r="H486" s="2" t="s">
        <v>25</v>
      </c>
      <c r="I486" s="2" t="s">
        <v>26</v>
      </c>
      <c r="J486" s="2" t="s">
        <v>105</v>
      </c>
      <c r="K486" s="2" t="s">
        <v>89</v>
      </c>
      <c r="L486" s="2" t="s">
        <v>78</v>
      </c>
      <c r="M486" s="2">
        <v>2</v>
      </c>
      <c r="N486" s="3">
        <v>950000</v>
      </c>
      <c r="O486" s="3">
        <v>933482.9</v>
      </c>
      <c r="P486" s="4">
        <v>0</v>
      </c>
      <c r="Q486" s="2">
        <v>0</v>
      </c>
      <c r="R486" s="3">
        <v>1866965.8</v>
      </c>
      <c r="S486" s="3">
        <v>0</v>
      </c>
      <c r="T486" s="3">
        <v>1866965.8</v>
      </c>
      <c r="U486" t="str">
        <f t="shared" si="7"/>
        <v>Not achive</v>
      </c>
    </row>
    <row r="487" spans="1:21" x14ac:dyDescent="0.3">
      <c r="A487" s="2">
        <v>800495</v>
      </c>
      <c r="B487" s="10">
        <v>45659</v>
      </c>
      <c r="C487" s="2" t="s">
        <v>38</v>
      </c>
      <c r="D487" s="2" t="s">
        <v>63</v>
      </c>
      <c r="E487" s="2" t="s">
        <v>114</v>
      </c>
      <c r="F487" s="2" t="s">
        <v>32</v>
      </c>
      <c r="G487" s="2" t="s">
        <v>54</v>
      </c>
      <c r="H487" s="2" t="s">
        <v>25</v>
      </c>
      <c r="I487" s="2" t="s">
        <v>26</v>
      </c>
      <c r="J487" s="2" t="s">
        <v>27</v>
      </c>
      <c r="K487" s="2" t="s">
        <v>58</v>
      </c>
      <c r="L487" s="2" t="s">
        <v>37</v>
      </c>
      <c r="M487" s="2">
        <v>3</v>
      </c>
      <c r="N487" s="3">
        <v>750000</v>
      </c>
      <c r="O487" s="3">
        <v>755313.23</v>
      </c>
      <c r="P487" s="4">
        <v>0</v>
      </c>
      <c r="Q487" s="2">
        <v>0</v>
      </c>
      <c r="R487" s="3">
        <v>2265939.69</v>
      </c>
      <c r="S487" s="3">
        <v>0</v>
      </c>
      <c r="T487" s="3">
        <v>2265939.69</v>
      </c>
      <c r="U487" t="str">
        <f t="shared" si="7"/>
        <v>Achive</v>
      </c>
    </row>
    <row r="488" spans="1:21" x14ac:dyDescent="0.3">
      <c r="A488" s="2">
        <v>800525</v>
      </c>
      <c r="B488" s="10">
        <v>45659</v>
      </c>
      <c r="C488" s="2" t="s">
        <v>51</v>
      </c>
      <c r="D488" s="2" t="s">
        <v>55</v>
      </c>
      <c r="E488" s="2" t="s">
        <v>137</v>
      </c>
      <c r="F488" s="2" t="s">
        <v>23</v>
      </c>
      <c r="G488" s="2" t="s">
        <v>116</v>
      </c>
      <c r="H488" s="2" t="s">
        <v>25</v>
      </c>
      <c r="I488" s="2" t="s">
        <v>67</v>
      </c>
      <c r="J488" s="2" t="s">
        <v>108</v>
      </c>
      <c r="K488" s="2" t="s">
        <v>89</v>
      </c>
      <c r="L488" s="2" t="s">
        <v>122</v>
      </c>
      <c r="M488" s="2">
        <v>1</v>
      </c>
      <c r="N488" s="3">
        <v>1800000</v>
      </c>
      <c r="O488" s="3">
        <v>1834794.32</v>
      </c>
      <c r="P488" s="4">
        <v>0</v>
      </c>
      <c r="Q488" s="2">
        <v>0</v>
      </c>
      <c r="R488" s="3">
        <v>1834794.32</v>
      </c>
      <c r="S488" s="3">
        <v>0</v>
      </c>
      <c r="T488" s="3">
        <v>1834794.32</v>
      </c>
      <c r="U488" t="str">
        <f t="shared" si="7"/>
        <v>Not achive</v>
      </c>
    </row>
    <row r="489" spans="1:21" x14ac:dyDescent="0.3">
      <c r="A489" s="2">
        <v>800649</v>
      </c>
      <c r="B489" s="10">
        <v>45659</v>
      </c>
      <c r="C489" s="2" t="s">
        <v>20</v>
      </c>
      <c r="D489" s="2" t="s">
        <v>21</v>
      </c>
      <c r="E489" s="2" t="s">
        <v>22</v>
      </c>
      <c r="F489" s="2" t="s">
        <v>41</v>
      </c>
      <c r="G489" s="2" t="s">
        <v>116</v>
      </c>
      <c r="H489" s="2" t="s">
        <v>25</v>
      </c>
      <c r="I489" s="2" t="s">
        <v>67</v>
      </c>
      <c r="J489" s="2" t="s">
        <v>108</v>
      </c>
      <c r="K489" s="2" t="s">
        <v>62</v>
      </c>
      <c r="L489" s="2" t="s">
        <v>87</v>
      </c>
      <c r="M489" s="2">
        <v>3</v>
      </c>
      <c r="N489" s="3">
        <v>1800000</v>
      </c>
      <c r="O489" s="3">
        <v>1810699.25</v>
      </c>
      <c r="P489" s="4">
        <v>0</v>
      </c>
      <c r="Q489" s="2">
        <v>0</v>
      </c>
      <c r="R489" s="3">
        <v>5432097.75</v>
      </c>
      <c r="S489" s="3">
        <v>0</v>
      </c>
      <c r="T489" s="3">
        <v>5432097.75</v>
      </c>
      <c r="U489" t="str">
        <f t="shared" si="7"/>
        <v>Achive</v>
      </c>
    </row>
    <row r="490" spans="1:21" x14ac:dyDescent="0.3">
      <c r="A490" s="2">
        <v>800650</v>
      </c>
      <c r="B490" s="10">
        <v>45659</v>
      </c>
      <c r="C490" s="2" t="s">
        <v>38</v>
      </c>
      <c r="D490" s="2" t="s">
        <v>79</v>
      </c>
      <c r="E490" s="2" t="s">
        <v>133</v>
      </c>
      <c r="F490" s="2" t="s">
        <v>32</v>
      </c>
      <c r="G490" s="2" t="s">
        <v>94</v>
      </c>
      <c r="H490" s="2" t="s">
        <v>25</v>
      </c>
      <c r="I490" s="2" t="s">
        <v>67</v>
      </c>
      <c r="J490" s="2" t="s">
        <v>68</v>
      </c>
      <c r="K490" s="2" t="s">
        <v>91</v>
      </c>
      <c r="L490" s="2" t="s">
        <v>123</v>
      </c>
      <c r="M490" s="2">
        <v>3</v>
      </c>
      <c r="N490" s="3">
        <v>1200000</v>
      </c>
      <c r="O490" s="3">
        <v>1173601.6399999999</v>
      </c>
      <c r="P490" s="4">
        <v>0</v>
      </c>
      <c r="Q490" s="2">
        <v>0</v>
      </c>
      <c r="R490" s="3">
        <v>3520804.92</v>
      </c>
      <c r="S490" s="3">
        <v>0</v>
      </c>
      <c r="T490" s="3">
        <v>3520804.92</v>
      </c>
      <c r="U490" t="str">
        <f t="shared" si="7"/>
        <v>Achive</v>
      </c>
    </row>
    <row r="491" spans="1:21" x14ac:dyDescent="0.3">
      <c r="A491" s="2">
        <v>800071</v>
      </c>
      <c r="B491" s="10">
        <v>45660</v>
      </c>
      <c r="C491" s="2" t="s">
        <v>51</v>
      </c>
      <c r="D491" s="2" t="s">
        <v>110</v>
      </c>
      <c r="E491" s="2" t="s">
        <v>134</v>
      </c>
      <c r="F491" s="2" t="s">
        <v>65</v>
      </c>
      <c r="G491" s="2" t="s">
        <v>47</v>
      </c>
      <c r="H491" s="2" t="s">
        <v>25</v>
      </c>
      <c r="I491" s="2" t="s">
        <v>26</v>
      </c>
      <c r="J491" s="2" t="s">
        <v>105</v>
      </c>
      <c r="K491" s="2" t="s">
        <v>49</v>
      </c>
      <c r="L491" s="2" t="s">
        <v>87</v>
      </c>
      <c r="M491" s="2">
        <v>3</v>
      </c>
      <c r="N491" s="3">
        <v>950000</v>
      </c>
      <c r="O491" s="3">
        <v>960684.04</v>
      </c>
      <c r="P491" s="4">
        <v>0</v>
      </c>
      <c r="Q491" s="2">
        <v>0</v>
      </c>
      <c r="R491" s="3">
        <v>2882052.12</v>
      </c>
      <c r="S491" s="3">
        <v>0</v>
      </c>
      <c r="T491" s="3">
        <v>2882052.12</v>
      </c>
      <c r="U491" t="str">
        <f t="shared" si="7"/>
        <v>Achive</v>
      </c>
    </row>
    <row r="492" spans="1:21" x14ac:dyDescent="0.3">
      <c r="A492" s="2">
        <v>800256</v>
      </c>
      <c r="B492" s="10">
        <v>45660</v>
      </c>
      <c r="C492" s="2" t="s">
        <v>38</v>
      </c>
      <c r="D492" s="2" t="s">
        <v>79</v>
      </c>
      <c r="E492" s="2" t="s">
        <v>80</v>
      </c>
      <c r="F492" s="2" t="s">
        <v>65</v>
      </c>
      <c r="G492" s="2" t="s">
        <v>54</v>
      </c>
      <c r="H492" s="2" t="s">
        <v>25</v>
      </c>
      <c r="I492" s="2" t="s">
        <v>26</v>
      </c>
      <c r="J492" s="2" t="s">
        <v>48</v>
      </c>
      <c r="K492" s="2" t="s">
        <v>49</v>
      </c>
      <c r="L492" s="2" t="s">
        <v>59</v>
      </c>
      <c r="M492" s="2">
        <v>1</v>
      </c>
      <c r="N492" s="3">
        <v>1200000</v>
      </c>
      <c r="O492" s="3">
        <v>1173033.98</v>
      </c>
      <c r="P492" s="4">
        <v>10</v>
      </c>
      <c r="Q492" s="2">
        <v>0</v>
      </c>
      <c r="R492" s="3">
        <v>1173033.98</v>
      </c>
      <c r="S492" s="3">
        <v>117303.4</v>
      </c>
      <c r="T492" s="3">
        <v>1055730.58</v>
      </c>
      <c r="U492" t="str">
        <f t="shared" si="7"/>
        <v>Not achive</v>
      </c>
    </row>
    <row r="493" spans="1:21" x14ac:dyDescent="0.3">
      <c r="A493" s="2">
        <v>800213</v>
      </c>
      <c r="B493" s="10">
        <v>45662</v>
      </c>
      <c r="C493" s="2" t="s">
        <v>20</v>
      </c>
      <c r="D493" s="2" t="s">
        <v>30</v>
      </c>
      <c r="E493" s="2" t="s">
        <v>31</v>
      </c>
      <c r="F493" s="2" t="s">
        <v>65</v>
      </c>
      <c r="G493" s="2" t="s">
        <v>72</v>
      </c>
      <c r="H493" s="2" t="s">
        <v>25</v>
      </c>
      <c r="I493" s="2" t="s">
        <v>67</v>
      </c>
      <c r="J493" s="2" t="s">
        <v>68</v>
      </c>
      <c r="K493" s="2" t="s">
        <v>117</v>
      </c>
      <c r="L493" s="2" t="s">
        <v>123</v>
      </c>
      <c r="M493" s="2">
        <v>1</v>
      </c>
      <c r="N493" s="3">
        <v>1200000</v>
      </c>
      <c r="O493" s="3">
        <v>1219924.03</v>
      </c>
      <c r="P493" s="4">
        <v>2</v>
      </c>
      <c r="Q493" s="2">
        <v>0</v>
      </c>
      <c r="R493" s="3">
        <v>1219924.03</v>
      </c>
      <c r="S493" s="3">
        <v>24398.48</v>
      </c>
      <c r="T493" s="3">
        <v>1195525.55</v>
      </c>
      <c r="U493" t="str">
        <f t="shared" si="7"/>
        <v>Not achive</v>
      </c>
    </row>
    <row r="494" spans="1:21" x14ac:dyDescent="0.3">
      <c r="A494" s="2">
        <v>800460</v>
      </c>
      <c r="B494" s="10">
        <v>45663</v>
      </c>
      <c r="C494" s="2" t="s">
        <v>20</v>
      </c>
      <c r="D494" s="2" t="s">
        <v>21</v>
      </c>
      <c r="E494" s="2" t="s">
        <v>98</v>
      </c>
      <c r="F494" s="2" t="s">
        <v>32</v>
      </c>
      <c r="G494" s="2" t="s">
        <v>42</v>
      </c>
      <c r="H494" s="2" t="s">
        <v>25</v>
      </c>
      <c r="I494" s="2" t="s">
        <v>26</v>
      </c>
      <c r="J494" s="2" t="s">
        <v>48</v>
      </c>
      <c r="K494" s="2" t="s">
        <v>89</v>
      </c>
      <c r="L494" s="2" t="s">
        <v>87</v>
      </c>
      <c r="M494" s="2">
        <v>2</v>
      </c>
      <c r="N494" s="3">
        <v>1200000</v>
      </c>
      <c r="O494" s="3">
        <v>1168764.3</v>
      </c>
      <c r="P494" s="4">
        <v>0</v>
      </c>
      <c r="Q494" s="2">
        <v>0</v>
      </c>
      <c r="R494" s="3">
        <v>2337528.6</v>
      </c>
      <c r="S494" s="3">
        <v>0</v>
      </c>
      <c r="T494" s="3">
        <v>2337528.6</v>
      </c>
      <c r="U494" t="str">
        <f t="shared" si="7"/>
        <v>Achive</v>
      </c>
    </row>
    <row r="495" spans="1:21" x14ac:dyDescent="0.3">
      <c r="A495" s="2">
        <v>800072</v>
      </c>
      <c r="B495" s="10">
        <v>45664</v>
      </c>
      <c r="C495" s="2" t="s">
        <v>20</v>
      </c>
      <c r="D495" s="2" t="s">
        <v>74</v>
      </c>
      <c r="E495" s="2" t="s">
        <v>75</v>
      </c>
      <c r="F495" s="2" t="s">
        <v>46</v>
      </c>
      <c r="G495" s="2" t="s">
        <v>94</v>
      </c>
      <c r="H495" s="2" t="s">
        <v>25</v>
      </c>
      <c r="I495" s="2" t="s">
        <v>26</v>
      </c>
      <c r="J495" s="2" t="s">
        <v>105</v>
      </c>
      <c r="K495" s="2" t="s">
        <v>82</v>
      </c>
      <c r="L495" s="2" t="s">
        <v>37</v>
      </c>
      <c r="M495" s="2">
        <v>3</v>
      </c>
      <c r="N495" s="3">
        <v>950000</v>
      </c>
      <c r="O495" s="3">
        <v>942496.95</v>
      </c>
      <c r="P495" s="4">
        <v>0</v>
      </c>
      <c r="Q495" s="2">
        <v>0</v>
      </c>
      <c r="R495" s="3">
        <v>2827490.85</v>
      </c>
      <c r="S495" s="3">
        <v>0</v>
      </c>
      <c r="T495" s="3">
        <v>2827490.85</v>
      </c>
      <c r="U495" t="str">
        <f t="shared" si="7"/>
        <v>Achive</v>
      </c>
    </row>
    <row r="496" spans="1:21" x14ac:dyDescent="0.3">
      <c r="A496" s="2">
        <v>800177</v>
      </c>
      <c r="B496" s="10">
        <v>45664</v>
      </c>
      <c r="C496" s="2" t="s">
        <v>38</v>
      </c>
      <c r="D496" s="2" t="s">
        <v>118</v>
      </c>
      <c r="E496" s="2" t="s">
        <v>119</v>
      </c>
      <c r="F496" s="2" t="s">
        <v>46</v>
      </c>
      <c r="G496" s="2" t="s">
        <v>100</v>
      </c>
      <c r="H496" s="2" t="s">
        <v>25</v>
      </c>
      <c r="I496" s="2" t="s">
        <v>26</v>
      </c>
      <c r="J496" s="2" t="s">
        <v>48</v>
      </c>
      <c r="K496" s="2" t="s">
        <v>49</v>
      </c>
      <c r="L496" s="2" t="s">
        <v>37</v>
      </c>
      <c r="M496" s="2">
        <v>3</v>
      </c>
      <c r="N496" s="3">
        <v>1200000</v>
      </c>
      <c r="O496" s="3">
        <v>1223330.28</v>
      </c>
      <c r="P496" s="4">
        <v>7.5</v>
      </c>
      <c r="Q496" s="2">
        <v>0</v>
      </c>
      <c r="R496" s="3">
        <v>3669990.84</v>
      </c>
      <c r="S496" s="3">
        <v>275249.31</v>
      </c>
      <c r="T496" s="3">
        <v>3394741.53</v>
      </c>
      <c r="U496" t="str">
        <f t="shared" si="7"/>
        <v>Achive</v>
      </c>
    </row>
    <row r="497" spans="1:21" x14ac:dyDescent="0.3">
      <c r="A497" s="2">
        <v>800073</v>
      </c>
      <c r="B497" s="10">
        <v>45665</v>
      </c>
      <c r="C497" s="2" t="s">
        <v>69</v>
      </c>
      <c r="D497" s="2" t="s">
        <v>70</v>
      </c>
      <c r="E497" s="2" t="s">
        <v>93</v>
      </c>
      <c r="F497" s="2" t="s">
        <v>23</v>
      </c>
      <c r="G497" s="2" t="s">
        <v>61</v>
      </c>
      <c r="H497" s="2" t="s">
        <v>25</v>
      </c>
      <c r="I497" s="2" t="s">
        <v>26</v>
      </c>
      <c r="J497" s="2" t="s">
        <v>127</v>
      </c>
      <c r="K497" s="2" t="s">
        <v>99</v>
      </c>
      <c r="L497" s="2" t="s">
        <v>92</v>
      </c>
      <c r="M497" s="2">
        <v>1</v>
      </c>
      <c r="N497" s="3">
        <v>650000</v>
      </c>
      <c r="O497" s="3">
        <v>653567.93999999994</v>
      </c>
      <c r="P497" s="4">
        <v>5</v>
      </c>
      <c r="Q497" s="2">
        <v>0</v>
      </c>
      <c r="R497" s="3">
        <v>653567.93999999994</v>
      </c>
      <c r="S497" s="3">
        <v>32678.400000000001</v>
      </c>
      <c r="T497" s="3">
        <v>620889.54</v>
      </c>
      <c r="U497" t="str">
        <f t="shared" si="7"/>
        <v>Not achive</v>
      </c>
    </row>
    <row r="498" spans="1:21" x14ac:dyDescent="0.3">
      <c r="A498" s="2">
        <v>800145</v>
      </c>
      <c r="B498" s="10">
        <v>45665</v>
      </c>
      <c r="C498" s="2" t="s">
        <v>69</v>
      </c>
      <c r="D498" s="2" t="s">
        <v>95</v>
      </c>
      <c r="E498" s="2" t="s">
        <v>131</v>
      </c>
      <c r="F498" s="2" t="s">
        <v>46</v>
      </c>
      <c r="G498" s="2" t="s">
        <v>90</v>
      </c>
      <c r="H498" s="2" t="s">
        <v>25</v>
      </c>
      <c r="I498" s="2" t="s">
        <v>34</v>
      </c>
      <c r="J498" s="2" t="s">
        <v>35</v>
      </c>
      <c r="K498" s="2" t="s">
        <v>36</v>
      </c>
      <c r="L498" s="2" t="s">
        <v>29</v>
      </c>
      <c r="M498" s="2">
        <v>3</v>
      </c>
      <c r="N498" s="3">
        <v>550000</v>
      </c>
      <c r="O498" s="3">
        <v>548735.59</v>
      </c>
      <c r="P498" s="4">
        <v>7.5</v>
      </c>
      <c r="Q498" s="2">
        <v>0</v>
      </c>
      <c r="R498" s="3">
        <v>1646206.77</v>
      </c>
      <c r="S498" s="3">
        <v>123465.51</v>
      </c>
      <c r="T498" s="3">
        <v>1522741.26</v>
      </c>
      <c r="U498" t="str">
        <f t="shared" si="7"/>
        <v>Not achive</v>
      </c>
    </row>
    <row r="499" spans="1:21" x14ac:dyDescent="0.3">
      <c r="A499" s="2">
        <v>800189</v>
      </c>
      <c r="B499" s="10">
        <v>45668</v>
      </c>
      <c r="C499" s="2" t="s">
        <v>20</v>
      </c>
      <c r="D499" s="2" t="s">
        <v>21</v>
      </c>
      <c r="E499" s="2" t="s">
        <v>22</v>
      </c>
      <c r="F499" s="2" t="s">
        <v>46</v>
      </c>
      <c r="G499" s="2" t="s">
        <v>90</v>
      </c>
      <c r="H499" s="2" t="s">
        <v>25</v>
      </c>
      <c r="I499" s="2" t="s">
        <v>67</v>
      </c>
      <c r="J499" s="2" t="s">
        <v>68</v>
      </c>
      <c r="K499" s="2" t="s">
        <v>91</v>
      </c>
      <c r="L499" s="2" t="s">
        <v>73</v>
      </c>
      <c r="M499" s="2">
        <v>2</v>
      </c>
      <c r="N499" s="3">
        <v>1200000</v>
      </c>
      <c r="O499" s="3">
        <v>1218884.47</v>
      </c>
      <c r="P499" s="4">
        <v>10</v>
      </c>
      <c r="Q499" s="2">
        <v>0</v>
      </c>
      <c r="R499" s="3">
        <v>2437768.94</v>
      </c>
      <c r="S499" s="3">
        <v>243776.89</v>
      </c>
      <c r="T499" s="3">
        <v>2193992.0499999998</v>
      </c>
      <c r="U499" t="str">
        <f t="shared" si="7"/>
        <v>Achive</v>
      </c>
    </row>
    <row r="500" spans="1:21" x14ac:dyDescent="0.3">
      <c r="A500" s="2">
        <v>800207</v>
      </c>
      <c r="B500" s="10">
        <v>45668</v>
      </c>
      <c r="C500" s="2" t="s">
        <v>38</v>
      </c>
      <c r="D500" s="2" t="s">
        <v>39</v>
      </c>
      <c r="E500" s="2" t="s">
        <v>126</v>
      </c>
      <c r="F500" s="2" t="s">
        <v>41</v>
      </c>
      <c r="G500" s="2" t="s">
        <v>47</v>
      </c>
      <c r="H500" s="2" t="s">
        <v>25</v>
      </c>
      <c r="I500" s="2" t="s">
        <v>26</v>
      </c>
      <c r="J500" s="2" t="s">
        <v>48</v>
      </c>
      <c r="K500" s="2" t="s">
        <v>89</v>
      </c>
      <c r="L500" s="2" t="s">
        <v>78</v>
      </c>
      <c r="M500" s="2">
        <v>1</v>
      </c>
      <c r="N500" s="3">
        <v>1200000</v>
      </c>
      <c r="O500" s="3">
        <v>1171950.42</v>
      </c>
      <c r="P500" s="4">
        <v>0</v>
      </c>
      <c r="Q500" s="2">
        <v>0</v>
      </c>
      <c r="R500" s="3">
        <v>1171950.42</v>
      </c>
      <c r="S500" s="3">
        <v>0</v>
      </c>
      <c r="T500" s="3">
        <v>1171950.42</v>
      </c>
      <c r="U500" t="str">
        <f t="shared" si="7"/>
        <v>Not achive</v>
      </c>
    </row>
    <row r="501" spans="1:21" x14ac:dyDescent="0.3">
      <c r="A501" s="2">
        <v>800416</v>
      </c>
      <c r="B501" s="10">
        <v>45668</v>
      </c>
      <c r="C501" s="2" t="s">
        <v>51</v>
      </c>
      <c r="D501" s="2" t="s">
        <v>55</v>
      </c>
      <c r="E501" s="2" t="s">
        <v>56</v>
      </c>
      <c r="F501" s="2" t="s">
        <v>41</v>
      </c>
      <c r="G501" s="2" t="s">
        <v>24</v>
      </c>
      <c r="H501" s="2" t="s">
        <v>25</v>
      </c>
      <c r="I501" s="2" t="s">
        <v>26</v>
      </c>
      <c r="J501" s="2" t="s">
        <v>81</v>
      </c>
      <c r="K501" s="2" t="s">
        <v>49</v>
      </c>
      <c r="L501" s="2" t="s">
        <v>59</v>
      </c>
      <c r="M501" s="2">
        <v>1</v>
      </c>
      <c r="N501" s="3">
        <v>1700000</v>
      </c>
      <c r="O501" s="3">
        <v>1659695.33</v>
      </c>
      <c r="P501" s="4">
        <v>2</v>
      </c>
      <c r="Q501" s="2">
        <v>0</v>
      </c>
      <c r="R501" s="3">
        <v>1659695.33</v>
      </c>
      <c r="S501" s="3">
        <v>33193.910000000003</v>
      </c>
      <c r="T501" s="3">
        <v>1626501.42</v>
      </c>
      <c r="U501" t="str">
        <f t="shared" si="7"/>
        <v>Not achive</v>
      </c>
    </row>
    <row r="502" spans="1:21" x14ac:dyDescent="0.3">
      <c r="A502" s="2">
        <v>800030</v>
      </c>
      <c r="B502" s="10">
        <v>45669</v>
      </c>
      <c r="C502" s="2" t="s">
        <v>69</v>
      </c>
      <c r="D502" s="2" t="s">
        <v>70</v>
      </c>
      <c r="E502" s="2" t="s">
        <v>71</v>
      </c>
      <c r="F502" s="2" t="s">
        <v>41</v>
      </c>
      <c r="G502" s="2" t="s">
        <v>47</v>
      </c>
      <c r="H502" s="2" t="s">
        <v>25</v>
      </c>
      <c r="I502" s="2" t="s">
        <v>26</v>
      </c>
      <c r="J502" s="2" t="s">
        <v>105</v>
      </c>
      <c r="K502" s="2" t="s">
        <v>49</v>
      </c>
      <c r="L502" s="2" t="s">
        <v>123</v>
      </c>
      <c r="M502" s="2">
        <v>1</v>
      </c>
      <c r="N502" s="3">
        <v>950000</v>
      </c>
      <c r="O502" s="3">
        <v>953898.17</v>
      </c>
      <c r="P502" s="4">
        <v>0</v>
      </c>
      <c r="Q502" s="2">
        <v>0</v>
      </c>
      <c r="R502" s="3">
        <v>953898.17</v>
      </c>
      <c r="S502" s="3">
        <v>0</v>
      </c>
      <c r="T502" s="3">
        <v>953898.17</v>
      </c>
      <c r="U502" t="str">
        <f t="shared" si="7"/>
        <v>Not achive</v>
      </c>
    </row>
    <row r="503" spans="1:21" x14ac:dyDescent="0.3">
      <c r="A503" s="2">
        <v>800376</v>
      </c>
      <c r="B503" s="10">
        <v>45669</v>
      </c>
      <c r="C503" s="2" t="s">
        <v>38</v>
      </c>
      <c r="D503" s="2" t="s">
        <v>118</v>
      </c>
      <c r="E503" s="2" t="s">
        <v>125</v>
      </c>
      <c r="F503" s="2" t="s">
        <v>32</v>
      </c>
      <c r="G503" s="2" t="s">
        <v>24</v>
      </c>
      <c r="H503" s="2" t="s">
        <v>25</v>
      </c>
      <c r="I503" s="2" t="s">
        <v>67</v>
      </c>
      <c r="J503" s="2" t="s">
        <v>112</v>
      </c>
      <c r="K503" s="2" t="s">
        <v>99</v>
      </c>
      <c r="L503" s="2" t="s">
        <v>87</v>
      </c>
      <c r="M503" s="2">
        <v>1</v>
      </c>
      <c r="N503" s="3">
        <v>1250000</v>
      </c>
      <c r="O503" s="3">
        <v>1238326.76</v>
      </c>
      <c r="P503" s="4">
        <v>12.5</v>
      </c>
      <c r="Q503" s="2">
        <v>0</v>
      </c>
      <c r="R503" s="3">
        <v>1238326.76</v>
      </c>
      <c r="S503" s="3">
        <v>154790.85</v>
      </c>
      <c r="T503" s="3">
        <v>1083535.9099999999</v>
      </c>
      <c r="U503" t="str">
        <f t="shared" si="7"/>
        <v>Not achive</v>
      </c>
    </row>
    <row r="504" spans="1:21" x14ac:dyDescent="0.3">
      <c r="A504" s="2">
        <v>800417</v>
      </c>
      <c r="B504" s="10">
        <v>45669</v>
      </c>
      <c r="C504" s="2" t="s">
        <v>38</v>
      </c>
      <c r="D504" s="2" t="s">
        <v>63</v>
      </c>
      <c r="E504" s="2" t="s">
        <v>114</v>
      </c>
      <c r="F504" s="2" t="s">
        <v>41</v>
      </c>
      <c r="G504" s="2" t="s">
        <v>33</v>
      </c>
      <c r="H504" s="2" t="s">
        <v>25</v>
      </c>
      <c r="I504" s="2" t="s">
        <v>67</v>
      </c>
      <c r="J504" s="2" t="s">
        <v>85</v>
      </c>
      <c r="K504" s="2" t="s">
        <v>86</v>
      </c>
      <c r="L504" s="2" t="s">
        <v>73</v>
      </c>
      <c r="M504" s="2">
        <v>2</v>
      </c>
      <c r="N504" s="3">
        <v>1500000</v>
      </c>
      <c r="O504" s="3">
        <v>1522399.73</v>
      </c>
      <c r="P504" s="4">
        <v>12.5</v>
      </c>
      <c r="Q504" s="2">
        <v>0</v>
      </c>
      <c r="R504" s="3">
        <v>3044799.46</v>
      </c>
      <c r="S504" s="3">
        <v>380599.93</v>
      </c>
      <c r="T504" s="3">
        <v>2664199.5299999998</v>
      </c>
      <c r="U504" t="str">
        <f t="shared" si="7"/>
        <v>Achive</v>
      </c>
    </row>
    <row r="505" spans="1:21" x14ac:dyDescent="0.3">
      <c r="A505" s="2">
        <v>800226</v>
      </c>
      <c r="B505" s="10">
        <v>45670</v>
      </c>
      <c r="C505" s="2" t="s">
        <v>38</v>
      </c>
      <c r="D505" s="2" t="s">
        <v>79</v>
      </c>
      <c r="E505" s="2" t="s">
        <v>133</v>
      </c>
      <c r="F505" s="2" t="s">
        <v>65</v>
      </c>
      <c r="G505" s="2" t="s">
        <v>66</v>
      </c>
      <c r="H505" s="2" t="s">
        <v>25</v>
      </c>
      <c r="I505" s="2" t="s">
        <v>67</v>
      </c>
      <c r="J505" s="2" t="s">
        <v>112</v>
      </c>
      <c r="K505" s="2" t="s">
        <v>58</v>
      </c>
      <c r="L505" s="2" t="s">
        <v>123</v>
      </c>
      <c r="M505" s="2">
        <v>1</v>
      </c>
      <c r="N505" s="3">
        <v>1250000</v>
      </c>
      <c r="O505" s="3">
        <v>1242788.06</v>
      </c>
      <c r="P505" s="4">
        <v>2</v>
      </c>
      <c r="Q505" s="2">
        <v>0</v>
      </c>
      <c r="R505" s="3">
        <v>1242788.06</v>
      </c>
      <c r="S505" s="3">
        <v>24855.759999999998</v>
      </c>
      <c r="T505" s="3">
        <v>1217932.3</v>
      </c>
      <c r="U505" t="str">
        <f t="shared" si="7"/>
        <v>Not achive</v>
      </c>
    </row>
    <row r="506" spans="1:21" x14ac:dyDescent="0.3">
      <c r="A506" s="2">
        <v>800178</v>
      </c>
      <c r="B506" s="10">
        <v>45671</v>
      </c>
      <c r="C506" s="2" t="s">
        <v>20</v>
      </c>
      <c r="D506" s="2" t="s">
        <v>30</v>
      </c>
      <c r="E506" s="2" t="s">
        <v>31</v>
      </c>
      <c r="F506" s="2" t="s">
        <v>46</v>
      </c>
      <c r="G506" s="2" t="s">
        <v>42</v>
      </c>
      <c r="H506" s="2" t="s">
        <v>25</v>
      </c>
      <c r="I506" s="2" t="s">
        <v>34</v>
      </c>
      <c r="J506" s="2" t="s">
        <v>35</v>
      </c>
      <c r="K506" s="2" t="s">
        <v>45</v>
      </c>
      <c r="L506" s="2" t="s">
        <v>59</v>
      </c>
      <c r="M506" s="2">
        <v>4</v>
      </c>
      <c r="N506" s="3">
        <v>550000</v>
      </c>
      <c r="O506" s="3">
        <v>548024.76</v>
      </c>
      <c r="P506" s="4">
        <v>7.5</v>
      </c>
      <c r="Q506" s="2">
        <v>0</v>
      </c>
      <c r="R506" s="3">
        <v>2192099.04</v>
      </c>
      <c r="S506" s="3">
        <v>164407.43</v>
      </c>
      <c r="T506" s="3">
        <v>2027691.61</v>
      </c>
      <c r="U506" t="str">
        <f t="shared" si="7"/>
        <v>Achive</v>
      </c>
    </row>
    <row r="507" spans="1:21" x14ac:dyDescent="0.3">
      <c r="A507" s="2">
        <v>800202</v>
      </c>
      <c r="B507" s="10">
        <v>45671</v>
      </c>
      <c r="C507" s="2" t="s">
        <v>38</v>
      </c>
      <c r="D507" s="2" t="s">
        <v>39</v>
      </c>
      <c r="E507" s="2" t="s">
        <v>126</v>
      </c>
      <c r="F507" s="2" t="s">
        <v>46</v>
      </c>
      <c r="G507" s="2" t="s">
        <v>90</v>
      </c>
      <c r="H507" s="2" t="s">
        <v>25</v>
      </c>
      <c r="I507" s="2" t="s">
        <v>43</v>
      </c>
      <c r="J507" s="2" t="s">
        <v>101</v>
      </c>
      <c r="K507" s="2" t="s">
        <v>102</v>
      </c>
      <c r="L507" s="2" t="s">
        <v>78</v>
      </c>
      <c r="M507" s="2">
        <v>1</v>
      </c>
      <c r="N507" s="3">
        <v>1000000</v>
      </c>
      <c r="O507" s="3">
        <v>1016207.96</v>
      </c>
      <c r="P507" s="4">
        <v>5</v>
      </c>
      <c r="Q507" s="2">
        <v>0</v>
      </c>
      <c r="R507" s="3">
        <v>1016207.96</v>
      </c>
      <c r="S507" s="3">
        <v>50810.400000000001</v>
      </c>
      <c r="T507" s="3">
        <v>965397.56</v>
      </c>
      <c r="U507" t="str">
        <f t="shared" si="7"/>
        <v>Not achive</v>
      </c>
    </row>
    <row r="508" spans="1:21" x14ac:dyDescent="0.3">
      <c r="A508" s="2">
        <v>800271</v>
      </c>
      <c r="B508" s="10">
        <v>45671</v>
      </c>
      <c r="C508" s="2" t="s">
        <v>20</v>
      </c>
      <c r="D508" s="2" t="s">
        <v>74</v>
      </c>
      <c r="E508" s="2" t="s">
        <v>75</v>
      </c>
      <c r="F508" s="2" t="s">
        <v>46</v>
      </c>
      <c r="G508" s="2" t="s">
        <v>90</v>
      </c>
      <c r="H508" s="2" t="s">
        <v>25</v>
      </c>
      <c r="I508" s="2" t="s">
        <v>67</v>
      </c>
      <c r="J508" s="2" t="s">
        <v>112</v>
      </c>
      <c r="K508" s="2" t="s">
        <v>99</v>
      </c>
      <c r="L508" s="2" t="s">
        <v>123</v>
      </c>
      <c r="M508" s="2">
        <v>3</v>
      </c>
      <c r="N508" s="3">
        <v>1250000</v>
      </c>
      <c r="O508" s="3">
        <v>1214262.9099999999</v>
      </c>
      <c r="P508" s="4">
        <v>7.5</v>
      </c>
      <c r="Q508" s="2">
        <v>0</v>
      </c>
      <c r="R508" s="3">
        <v>3642788.73</v>
      </c>
      <c r="S508" s="3">
        <v>273209.15000000002</v>
      </c>
      <c r="T508" s="3">
        <v>3369579.58</v>
      </c>
      <c r="U508" t="str">
        <f t="shared" si="7"/>
        <v>Achive</v>
      </c>
    </row>
    <row r="509" spans="1:21" x14ac:dyDescent="0.3">
      <c r="A509" s="2">
        <v>800457</v>
      </c>
      <c r="B509" s="10">
        <v>45672</v>
      </c>
      <c r="C509" s="2" t="s">
        <v>38</v>
      </c>
      <c r="D509" s="2" t="s">
        <v>39</v>
      </c>
      <c r="E509" s="2" t="s">
        <v>40</v>
      </c>
      <c r="F509" s="2" t="s">
        <v>32</v>
      </c>
      <c r="G509" s="2" t="s">
        <v>54</v>
      </c>
      <c r="H509" s="2" t="s">
        <v>25</v>
      </c>
      <c r="I509" s="2" t="s">
        <v>26</v>
      </c>
      <c r="J509" s="2" t="s">
        <v>57</v>
      </c>
      <c r="K509" s="2" t="s">
        <v>103</v>
      </c>
      <c r="L509" s="2" t="s">
        <v>59</v>
      </c>
      <c r="M509" s="2">
        <v>2</v>
      </c>
      <c r="N509" s="3">
        <v>800000</v>
      </c>
      <c r="O509" s="3">
        <v>777756.24</v>
      </c>
      <c r="P509" s="4">
        <v>0</v>
      </c>
      <c r="Q509" s="2">
        <v>0</v>
      </c>
      <c r="R509" s="3">
        <v>1555512.48</v>
      </c>
      <c r="S509" s="3">
        <v>0</v>
      </c>
      <c r="T509" s="3">
        <v>1555512.48</v>
      </c>
      <c r="U509" t="str">
        <f t="shared" si="7"/>
        <v>Not achive</v>
      </c>
    </row>
    <row r="510" spans="1:21" x14ac:dyDescent="0.3">
      <c r="A510" s="2">
        <v>800007</v>
      </c>
      <c r="B510" s="10">
        <v>45673</v>
      </c>
      <c r="C510" s="2" t="s">
        <v>69</v>
      </c>
      <c r="D510" s="2" t="s">
        <v>83</v>
      </c>
      <c r="E510" s="2" t="s">
        <v>84</v>
      </c>
      <c r="F510" s="2" t="s">
        <v>41</v>
      </c>
      <c r="G510" s="2" t="s">
        <v>90</v>
      </c>
      <c r="H510" s="2" t="s">
        <v>25</v>
      </c>
      <c r="I510" s="2" t="s">
        <v>43</v>
      </c>
      <c r="J510" s="2" t="s">
        <v>44</v>
      </c>
      <c r="K510" s="2" t="s">
        <v>45</v>
      </c>
      <c r="L510" s="2" t="s">
        <v>123</v>
      </c>
      <c r="M510" s="2">
        <v>4</v>
      </c>
      <c r="N510" s="3">
        <v>800000</v>
      </c>
      <c r="O510" s="3">
        <v>786709.64</v>
      </c>
      <c r="P510" s="4">
        <v>2</v>
      </c>
      <c r="Q510" s="2">
        <v>0</v>
      </c>
      <c r="R510" s="3">
        <v>3146838.56</v>
      </c>
      <c r="S510" s="3">
        <v>62936.77</v>
      </c>
      <c r="T510" s="3">
        <v>3083901.79</v>
      </c>
      <c r="U510" t="str">
        <f t="shared" si="7"/>
        <v>Achive</v>
      </c>
    </row>
    <row r="511" spans="1:21" x14ac:dyDescent="0.3">
      <c r="A511" s="2">
        <v>800173</v>
      </c>
      <c r="B511" s="10">
        <v>45673</v>
      </c>
      <c r="C511" s="2" t="s">
        <v>38</v>
      </c>
      <c r="D511" s="2" t="s">
        <v>79</v>
      </c>
      <c r="E511" s="2" t="s">
        <v>133</v>
      </c>
      <c r="F511" s="2" t="s">
        <v>65</v>
      </c>
      <c r="G511" s="2" t="s">
        <v>100</v>
      </c>
      <c r="H511" s="2" t="s">
        <v>25</v>
      </c>
      <c r="I511" s="2" t="s">
        <v>26</v>
      </c>
      <c r="J511" s="2" t="s">
        <v>120</v>
      </c>
      <c r="K511" s="2" t="s">
        <v>77</v>
      </c>
      <c r="L511" s="2" t="s">
        <v>78</v>
      </c>
      <c r="M511" s="2">
        <v>3</v>
      </c>
      <c r="N511" s="3">
        <v>1900000</v>
      </c>
      <c r="O511" s="3">
        <v>1860688.91</v>
      </c>
      <c r="P511" s="4">
        <v>7.5</v>
      </c>
      <c r="Q511" s="2">
        <v>0</v>
      </c>
      <c r="R511" s="3">
        <v>5582066.7300000004</v>
      </c>
      <c r="S511" s="3">
        <v>418655</v>
      </c>
      <c r="T511" s="3">
        <v>5163411.7300000004</v>
      </c>
      <c r="U511" t="str">
        <f t="shared" si="7"/>
        <v>Achive</v>
      </c>
    </row>
    <row r="512" spans="1:21" x14ac:dyDescent="0.3">
      <c r="A512" s="2">
        <v>800054</v>
      </c>
      <c r="B512" s="10">
        <v>45674</v>
      </c>
      <c r="C512" s="2" t="s">
        <v>20</v>
      </c>
      <c r="D512" s="2" t="s">
        <v>74</v>
      </c>
      <c r="E512" s="2" t="s">
        <v>113</v>
      </c>
      <c r="F512" s="2" t="s">
        <v>32</v>
      </c>
      <c r="G512" s="2" t="s">
        <v>47</v>
      </c>
      <c r="H512" s="2" t="s">
        <v>25</v>
      </c>
      <c r="I512" s="2" t="s">
        <v>26</v>
      </c>
      <c r="J512" s="2" t="s">
        <v>105</v>
      </c>
      <c r="K512" s="2" t="s">
        <v>49</v>
      </c>
      <c r="L512" s="2" t="s">
        <v>50</v>
      </c>
      <c r="M512" s="2">
        <v>2</v>
      </c>
      <c r="N512" s="3">
        <v>950000</v>
      </c>
      <c r="O512" s="3">
        <v>963377.48</v>
      </c>
      <c r="P512" s="4">
        <v>2</v>
      </c>
      <c r="Q512" s="2">
        <v>0</v>
      </c>
      <c r="R512" s="3">
        <v>1926754.96</v>
      </c>
      <c r="S512" s="3">
        <v>38535.1</v>
      </c>
      <c r="T512" s="3">
        <v>1888219.86</v>
      </c>
      <c r="U512" t="str">
        <f t="shared" si="7"/>
        <v>Not achive</v>
      </c>
    </row>
    <row r="513" spans="1:21" x14ac:dyDescent="0.3">
      <c r="A513" s="2">
        <v>800430</v>
      </c>
      <c r="B513" s="10">
        <v>45674</v>
      </c>
      <c r="C513" s="2" t="s">
        <v>38</v>
      </c>
      <c r="D513" s="2" t="s">
        <v>79</v>
      </c>
      <c r="E513" s="2" t="s">
        <v>133</v>
      </c>
      <c r="F513" s="2" t="s">
        <v>65</v>
      </c>
      <c r="G513" s="2" t="s">
        <v>24</v>
      </c>
      <c r="H513" s="2" t="s">
        <v>25</v>
      </c>
      <c r="I513" s="2" t="s">
        <v>43</v>
      </c>
      <c r="J513" s="2" t="s">
        <v>101</v>
      </c>
      <c r="K513" s="2" t="s">
        <v>45</v>
      </c>
      <c r="L513" s="2" t="s">
        <v>122</v>
      </c>
      <c r="M513" s="2">
        <v>3</v>
      </c>
      <c r="N513" s="3">
        <v>1000000</v>
      </c>
      <c r="O513" s="3">
        <v>1010553.71</v>
      </c>
      <c r="P513" s="4">
        <v>0</v>
      </c>
      <c r="Q513" s="2">
        <v>0</v>
      </c>
      <c r="R513" s="3">
        <v>3031661.13</v>
      </c>
      <c r="S513" s="3">
        <v>0</v>
      </c>
      <c r="T513" s="3">
        <v>3031661.13</v>
      </c>
      <c r="U513" t="str">
        <f t="shared" si="7"/>
        <v>Achive</v>
      </c>
    </row>
    <row r="514" spans="1:21" x14ac:dyDescent="0.3">
      <c r="A514" s="2">
        <v>800265</v>
      </c>
      <c r="B514" s="10">
        <v>45676</v>
      </c>
      <c r="C514" s="2" t="s">
        <v>51</v>
      </c>
      <c r="D514" s="2" t="s">
        <v>106</v>
      </c>
      <c r="E514" s="2" t="s">
        <v>128</v>
      </c>
      <c r="F514" s="2" t="s">
        <v>46</v>
      </c>
      <c r="G514" s="2" t="s">
        <v>42</v>
      </c>
      <c r="H514" s="2" t="s">
        <v>25</v>
      </c>
      <c r="I514" s="2" t="s">
        <v>26</v>
      </c>
      <c r="J514" s="2" t="s">
        <v>48</v>
      </c>
      <c r="K514" s="2" t="s">
        <v>49</v>
      </c>
      <c r="L514" s="2" t="s">
        <v>50</v>
      </c>
      <c r="M514" s="2">
        <v>2</v>
      </c>
      <c r="N514" s="3">
        <v>1200000</v>
      </c>
      <c r="O514" s="3">
        <v>1171351.6599999999</v>
      </c>
      <c r="P514" s="4">
        <v>12.5</v>
      </c>
      <c r="Q514" s="2">
        <v>0</v>
      </c>
      <c r="R514" s="3">
        <v>2342703.3199999998</v>
      </c>
      <c r="S514" s="3">
        <v>292837.90999999997</v>
      </c>
      <c r="T514" s="3">
        <v>2049865.41</v>
      </c>
      <c r="U514" t="str">
        <f t="shared" ref="U514:U577" si="8">IF(T514&gt;2000000,"Achive","Not achive")</f>
        <v>Achive</v>
      </c>
    </row>
    <row r="515" spans="1:21" x14ac:dyDescent="0.3">
      <c r="A515" s="2">
        <v>800445</v>
      </c>
      <c r="B515" s="10">
        <v>45676</v>
      </c>
      <c r="C515" s="2" t="s">
        <v>51</v>
      </c>
      <c r="D515" s="2" t="s">
        <v>55</v>
      </c>
      <c r="E515" s="2" t="s">
        <v>60</v>
      </c>
      <c r="F515" s="2" t="s">
        <v>46</v>
      </c>
      <c r="G515" s="2" t="s">
        <v>24</v>
      </c>
      <c r="H515" s="2" t="s">
        <v>25</v>
      </c>
      <c r="I515" s="2" t="s">
        <v>43</v>
      </c>
      <c r="J515" s="2" t="s">
        <v>101</v>
      </c>
      <c r="K515" s="2" t="s">
        <v>102</v>
      </c>
      <c r="L515" s="2" t="s">
        <v>73</v>
      </c>
      <c r="M515" s="2">
        <v>1</v>
      </c>
      <c r="N515" s="3">
        <v>1000000</v>
      </c>
      <c r="O515" s="3">
        <v>1006494.48</v>
      </c>
      <c r="P515" s="4">
        <v>2</v>
      </c>
      <c r="Q515" s="2">
        <v>0</v>
      </c>
      <c r="R515" s="3">
        <v>1006494.48</v>
      </c>
      <c r="S515" s="3">
        <v>20129.89</v>
      </c>
      <c r="T515" s="3">
        <v>986364.59</v>
      </c>
      <c r="U515" t="str">
        <f t="shared" si="8"/>
        <v>Not achive</v>
      </c>
    </row>
    <row r="516" spans="1:21" x14ac:dyDescent="0.3">
      <c r="A516" s="2">
        <v>800497</v>
      </c>
      <c r="B516" s="10">
        <v>45676</v>
      </c>
      <c r="C516" s="2" t="s">
        <v>38</v>
      </c>
      <c r="D516" s="2" t="s">
        <v>79</v>
      </c>
      <c r="E516" s="2" t="s">
        <v>133</v>
      </c>
      <c r="F516" s="2" t="s">
        <v>32</v>
      </c>
      <c r="G516" s="2" t="s">
        <v>33</v>
      </c>
      <c r="H516" s="2" t="s">
        <v>25</v>
      </c>
      <c r="I516" s="2" t="s">
        <v>67</v>
      </c>
      <c r="J516" s="2" t="s">
        <v>68</v>
      </c>
      <c r="K516" s="2" t="s">
        <v>91</v>
      </c>
      <c r="L516" s="2" t="s">
        <v>92</v>
      </c>
      <c r="M516" s="2">
        <v>2</v>
      </c>
      <c r="N516" s="3">
        <v>1200000</v>
      </c>
      <c r="O516" s="3">
        <v>1167685.07</v>
      </c>
      <c r="P516" s="4">
        <v>12.5</v>
      </c>
      <c r="Q516" s="2">
        <v>0</v>
      </c>
      <c r="R516" s="3">
        <v>2335370.14</v>
      </c>
      <c r="S516" s="3">
        <v>291921.27</v>
      </c>
      <c r="T516" s="3">
        <v>2043448.87</v>
      </c>
      <c r="U516" t="str">
        <f t="shared" si="8"/>
        <v>Achive</v>
      </c>
    </row>
    <row r="517" spans="1:21" x14ac:dyDescent="0.3">
      <c r="A517" s="2">
        <v>800186</v>
      </c>
      <c r="B517" s="10">
        <v>45677</v>
      </c>
      <c r="C517" s="2" t="s">
        <v>20</v>
      </c>
      <c r="D517" s="2" t="s">
        <v>74</v>
      </c>
      <c r="E517" s="2" t="s">
        <v>75</v>
      </c>
      <c r="F517" s="2" t="s">
        <v>32</v>
      </c>
      <c r="G517" s="2" t="s">
        <v>90</v>
      </c>
      <c r="H517" s="2" t="s">
        <v>25</v>
      </c>
      <c r="I517" s="2" t="s">
        <v>34</v>
      </c>
      <c r="J517" s="2" t="s">
        <v>35</v>
      </c>
      <c r="K517" s="2" t="s">
        <v>45</v>
      </c>
      <c r="L517" s="2" t="s">
        <v>73</v>
      </c>
      <c r="M517" s="2">
        <v>5</v>
      </c>
      <c r="N517" s="3">
        <v>550000</v>
      </c>
      <c r="O517" s="3">
        <v>560820.79</v>
      </c>
      <c r="P517" s="4">
        <v>2</v>
      </c>
      <c r="Q517" s="2">
        <v>0</v>
      </c>
      <c r="R517" s="3">
        <v>2804103.95</v>
      </c>
      <c r="S517" s="3">
        <v>56082.080000000002</v>
      </c>
      <c r="T517" s="3">
        <v>2748021.87</v>
      </c>
      <c r="U517" t="str">
        <f t="shared" si="8"/>
        <v>Achive</v>
      </c>
    </row>
    <row r="518" spans="1:21" x14ac:dyDescent="0.3">
      <c r="A518" s="2">
        <v>800154</v>
      </c>
      <c r="B518" s="10">
        <v>45678</v>
      </c>
      <c r="C518" s="2" t="s">
        <v>20</v>
      </c>
      <c r="D518" s="2" t="s">
        <v>21</v>
      </c>
      <c r="E518" s="2" t="s">
        <v>98</v>
      </c>
      <c r="F518" s="2" t="s">
        <v>41</v>
      </c>
      <c r="G518" s="2" t="s">
        <v>116</v>
      </c>
      <c r="H518" s="2" t="s">
        <v>25</v>
      </c>
      <c r="I518" s="2" t="s">
        <v>67</v>
      </c>
      <c r="J518" s="2" t="s">
        <v>68</v>
      </c>
      <c r="K518" s="2" t="s">
        <v>117</v>
      </c>
      <c r="L518" s="2" t="s">
        <v>92</v>
      </c>
      <c r="M518" s="2">
        <v>2</v>
      </c>
      <c r="N518" s="3">
        <v>1200000</v>
      </c>
      <c r="O518" s="3">
        <v>1178896.22</v>
      </c>
      <c r="P518" s="4">
        <v>0</v>
      </c>
      <c r="Q518" s="2">
        <v>0</v>
      </c>
      <c r="R518" s="3">
        <v>2357792.44</v>
      </c>
      <c r="S518" s="3">
        <v>0</v>
      </c>
      <c r="T518" s="3">
        <v>2357792.44</v>
      </c>
      <c r="U518" t="str">
        <f t="shared" si="8"/>
        <v>Achive</v>
      </c>
    </row>
    <row r="519" spans="1:21" x14ac:dyDescent="0.3">
      <c r="A519" s="2">
        <v>800279</v>
      </c>
      <c r="B519" s="10">
        <v>45678</v>
      </c>
      <c r="C519" s="2" t="s">
        <v>20</v>
      </c>
      <c r="D519" s="2" t="s">
        <v>74</v>
      </c>
      <c r="E519" s="2" t="s">
        <v>113</v>
      </c>
      <c r="F519" s="2" t="s">
        <v>46</v>
      </c>
      <c r="G519" s="2" t="s">
        <v>72</v>
      </c>
      <c r="H519" s="2" t="s">
        <v>25</v>
      </c>
      <c r="I519" s="2" t="s">
        <v>26</v>
      </c>
      <c r="J519" s="2" t="s">
        <v>48</v>
      </c>
      <c r="K519" s="2" t="s">
        <v>89</v>
      </c>
      <c r="L519" s="2" t="s">
        <v>123</v>
      </c>
      <c r="M519" s="2">
        <v>3</v>
      </c>
      <c r="N519" s="3">
        <v>1200000</v>
      </c>
      <c r="O519" s="3">
        <v>1186520.8500000001</v>
      </c>
      <c r="P519" s="4">
        <v>12.5</v>
      </c>
      <c r="Q519" s="2">
        <v>0</v>
      </c>
      <c r="R519" s="3">
        <v>3559562.55</v>
      </c>
      <c r="S519" s="3">
        <v>444945.32</v>
      </c>
      <c r="T519" s="3">
        <v>3114617.23</v>
      </c>
      <c r="U519" t="str">
        <f t="shared" si="8"/>
        <v>Achive</v>
      </c>
    </row>
    <row r="520" spans="1:21" x14ac:dyDescent="0.3">
      <c r="A520" s="2">
        <v>800431</v>
      </c>
      <c r="B520" s="10">
        <v>45678</v>
      </c>
      <c r="C520" s="2" t="s">
        <v>69</v>
      </c>
      <c r="D520" s="2" t="s">
        <v>83</v>
      </c>
      <c r="E520" s="2" t="s">
        <v>97</v>
      </c>
      <c r="F520" s="2" t="s">
        <v>65</v>
      </c>
      <c r="G520" s="2" t="s">
        <v>66</v>
      </c>
      <c r="H520" s="2" t="s">
        <v>25</v>
      </c>
      <c r="I520" s="2" t="s">
        <v>26</v>
      </c>
      <c r="J520" s="2" t="s">
        <v>57</v>
      </c>
      <c r="K520" s="2" t="s">
        <v>103</v>
      </c>
      <c r="L520" s="2" t="s">
        <v>92</v>
      </c>
      <c r="M520" s="2">
        <v>1</v>
      </c>
      <c r="N520" s="3">
        <v>800000</v>
      </c>
      <c r="O520" s="3">
        <v>799809.25</v>
      </c>
      <c r="P520" s="4">
        <v>5</v>
      </c>
      <c r="Q520" s="2">
        <v>0</v>
      </c>
      <c r="R520" s="3">
        <v>799809.25</v>
      </c>
      <c r="S520" s="3">
        <v>39990.46</v>
      </c>
      <c r="T520" s="3">
        <v>759818.79</v>
      </c>
      <c r="U520" t="str">
        <f t="shared" si="8"/>
        <v>Not achive</v>
      </c>
    </row>
    <row r="521" spans="1:21" x14ac:dyDescent="0.3">
      <c r="A521" s="2">
        <v>800462</v>
      </c>
      <c r="B521" s="10">
        <v>45679</v>
      </c>
      <c r="C521" s="2" t="s">
        <v>38</v>
      </c>
      <c r="D521" s="2" t="s">
        <v>118</v>
      </c>
      <c r="E521" s="2" t="s">
        <v>119</v>
      </c>
      <c r="F521" s="2" t="s">
        <v>41</v>
      </c>
      <c r="G521" s="2" t="s">
        <v>61</v>
      </c>
      <c r="H521" s="2" t="s">
        <v>25</v>
      </c>
      <c r="I521" s="2" t="s">
        <v>67</v>
      </c>
      <c r="J521" s="2" t="s">
        <v>85</v>
      </c>
      <c r="K521" s="2" t="s">
        <v>89</v>
      </c>
      <c r="L521" s="2" t="s">
        <v>73</v>
      </c>
      <c r="M521" s="2">
        <v>3</v>
      </c>
      <c r="N521" s="3">
        <v>1500000</v>
      </c>
      <c r="O521" s="3">
        <v>1476328.54</v>
      </c>
      <c r="P521" s="4">
        <v>0</v>
      </c>
      <c r="Q521" s="2">
        <v>0</v>
      </c>
      <c r="R521" s="3">
        <v>4428985.62</v>
      </c>
      <c r="S521" s="3">
        <v>0</v>
      </c>
      <c r="T521" s="3">
        <v>4428985.62</v>
      </c>
      <c r="U521" t="str">
        <f t="shared" si="8"/>
        <v>Achive</v>
      </c>
    </row>
    <row r="522" spans="1:21" x14ac:dyDescent="0.3">
      <c r="A522" s="2">
        <v>800533</v>
      </c>
      <c r="B522" s="10">
        <v>45679</v>
      </c>
      <c r="C522" s="2" t="s">
        <v>20</v>
      </c>
      <c r="D522" s="2" t="s">
        <v>21</v>
      </c>
      <c r="E522" s="2" t="s">
        <v>22</v>
      </c>
      <c r="F522" s="2" t="s">
        <v>23</v>
      </c>
      <c r="G522" s="2" t="s">
        <v>47</v>
      </c>
      <c r="H522" s="2" t="s">
        <v>25</v>
      </c>
      <c r="I522" s="2" t="s">
        <v>26</v>
      </c>
      <c r="J522" s="2" t="s">
        <v>127</v>
      </c>
      <c r="K522" s="2" t="s">
        <v>99</v>
      </c>
      <c r="L522" s="2" t="s">
        <v>87</v>
      </c>
      <c r="M522" s="2">
        <v>3</v>
      </c>
      <c r="N522" s="3">
        <v>650000</v>
      </c>
      <c r="O522" s="3">
        <v>658859.44999999995</v>
      </c>
      <c r="P522" s="4">
        <v>2</v>
      </c>
      <c r="Q522" s="2">
        <v>0</v>
      </c>
      <c r="R522" s="3">
        <v>1976578.35</v>
      </c>
      <c r="S522" s="3">
        <v>39531.57</v>
      </c>
      <c r="T522" s="3">
        <v>1937046.78</v>
      </c>
      <c r="U522" t="str">
        <f t="shared" si="8"/>
        <v>Not achive</v>
      </c>
    </row>
    <row r="523" spans="1:21" x14ac:dyDescent="0.3">
      <c r="A523" s="2">
        <v>800562</v>
      </c>
      <c r="B523" s="10">
        <v>45679</v>
      </c>
      <c r="C523" s="2" t="s">
        <v>69</v>
      </c>
      <c r="D523" s="2" t="s">
        <v>83</v>
      </c>
      <c r="E523" s="2" t="s">
        <v>84</v>
      </c>
      <c r="F523" s="2" t="s">
        <v>65</v>
      </c>
      <c r="G523" s="2" t="s">
        <v>42</v>
      </c>
      <c r="H523" s="2" t="s">
        <v>25</v>
      </c>
      <c r="I523" s="2" t="s">
        <v>34</v>
      </c>
      <c r="J523" s="2" t="s">
        <v>35</v>
      </c>
      <c r="K523" s="2" t="s">
        <v>36</v>
      </c>
      <c r="L523" s="2" t="s">
        <v>78</v>
      </c>
      <c r="M523" s="2">
        <v>6</v>
      </c>
      <c r="N523" s="3">
        <v>550000</v>
      </c>
      <c r="O523" s="3">
        <v>552694.11</v>
      </c>
      <c r="P523" s="4">
        <v>7.5</v>
      </c>
      <c r="Q523" s="2">
        <v>0</v>
      </c>
      <c r="R523" s="3">
        <v>3316164.66</v>
      </c>
      <c r="S523" s="3">
        <v>248712.35</v>
      </c>
      <c r="T523" s="3">
        <v>3067452.31</v>
      </c>
      <c r="U523" t="str">
        <f t="shared" si="8"/>
        <v>Achive</v>
      </c>
    </row>
    <row r="524" spans="1:21" x14ac:dyDescent="0.3">
      <c r="A524" s="2">
        <v>800588</v>
      </c>
      <c r="B524" s="10">
        <v>45679</v>
      </c>
      <c r="C524" s="2" t="s">
        <v>51</v>
      </c>
      <c r="D524" s="2" t="s">
        <v>52</v>
      </c>
      <c r="E524" s="2" t="s">
        <v>139</v>
      </c>
      <c r="F524" s="2" t="s">
        <v>65</v>
      </c>
      <c r="G524" s="2" t="s">
        <v>116</v>
      </c>
      <c r="H524" s="2" t="s">
        <v>25</v>
      </c>
      <c r="I524" s="2" t="s">
        <v>67</v>
      </c>
      <c r="J524" s="2" t="s">
        <v>68</v>
      </c>
      <c r="K524" s="2" t="s">
        <v>91</v>
      </c>
      <c r="L524" s="2" t="s">
        <v>87</v>
      </c>
      <c r="M524" s="2">
        <v>1</v>
      </c>
      <c r="N524" s="3">
        <v>1200000</v>
      </c>
      <c r="O524" s="3">
        <v>1201474.3400000001</v>
      </c>
      <c r="P524" s="4">
        <v>0</v>
      </c>
      <c r="Q524" s="2">
        <v>0</v>
      </c>
      <c r="R524" s="3">
        <v>1201474.3400000001</v>
      </c>
      <c r="S524" s="3">
        <v>0</v>
      </c>
      <c r="T524" s="3">
        <v>1201474.3400000001</v>
      </c>
      <c r="U524" t="str">
        <f t="shared" si="8"/>
        <v>Not achive</v>
      </c>
    </row>
    <row r="525" spans="1:21" x14ac:dyDescent="0.3">
      <c r="A525" s="2">
        <v>800336</v>
      </c>
      <c r="B525" s="10">
        <v>45681</v>
      </c>
      <c r="C525" s="2" t="s">
        <v>38</v>
      </c>
      <c r="D525" s="2" t="s">
        <v>79</v>
      </c>
      <c r="E525" s="2" t="s">
        <v>138</v>
      </c>
      <c r="F525" s="2" t="s">
        <v>46</v>
      </c>
      <c r="G525" s="2" t="s">
        <v>94</v>
      </c>
      <c r="H525" s="2" t="s">
        <v>25</v>
      </c>
      <c r="I525" s="2" t="s">
        <v>67</v>
      </c>
      <c r="J525" s="2" t="s">
        <v>108</v>
      </c>
      <c r="K525" s="2" t="s">
        <v>91</v>
      </c>
      <c r="L525" s="2" t="s">
        <v>123</v>
      </c>
      <c r="M525" s="2">
        <v>3</v>
      </c>
      <c r="N525" s="3">
        <v>1800000</v>
      </c>
      <c r="O525" s="3">
        <v>1756386.47</v>
      </c>
      <c r="P525" s="4">
        <v>7.5</v>
      </c>
      <c r="Q525" s="2">
        <v>0</v>
      </c>
      <c r="R525" s="3">
        <v>5269159.41</v>
      </c>
      <c r="S525" s="3">
        <v>395186.96</v>
      </c>
      <c r="T525" s="3">
        <v>4873972.45</v>
      </c>
      <c r="U525" t="str">
        <f t="shared" si="8"/>
        <v>Achive</v>
      </c>
    </row>
    <row r="526" spans="1:21" x14ac:dyDescent="0.3">
      <c r="A526" s="2">
        <v>800194</v>
      </c>
      <c r="B526" s="10">
        <v>45682</v>
      </c>
      <c r="C526" s="2" t="s">
        <v>38</v>
      </c>
      <c r="D526" s="2" t="s">
        <v>79</v>
      </c>
      <c r="E526" s="2" t="s">
        <v>80</v>
      </c>
      <c r="F526" s="2" t="s">
        <v>65</v>
      </c>
      <c r="G526" s="2" t="s">
        <v>72</v>
      </c>
      <c r="H526" s="2" t="s">
        <v>25</v>
      </c>
      <c r="I526" s="2" t="s">
        <v>26</v>
      </c>
      <c r="J526" s="2" t="s">
        <v>127</v>
      </c>
      <c r="K526" s="2" t="s">
        <v>99</v>
      </c>
      <c r="L526" s="2" t="s">
        <v>122</v>
      </c>
      <c r="M526" s="2">
        <v>3</v>
      </c>
      <c r="N526" s="3">
        <v>650000</v>
      </c>
      <c r="O526" s="3">
        <v>635242.49</v>
      </c>
      <c r="P526" s="4">
        <v>5</v>
      </c>
      <c r="Q526" s="2">
        <v>0</v>
      </c>
      <c r="R526" s="3">
        <v>1905727.47</v>
      </c>
      <c r="S526" s="3">
        <v>95286.37</v>
      </c>
      <c r="T526" s="3">
        <v>1810441.1</v>
      </c>
      <c r="U526" t="str">
        <f t="shared" si="8"/>
        <v>Not achive</v>
      </c>
    </row>
    <row r="527" spans="1:21" x14ac:dyDescent="0.3">
      <c r="A527" s="2">
        <v>800205</v>
      </c>
      <c r="B527" s="10">
        <v>45682</v>
      </c>
      <c r="C527" s="2" t="s">
        <v>20</v>
      </c>
      <c r="D527" s="2" t="s">
        <v>74</v>
      </c>
      <c r="E527" s="2" t="s">
        <v>75</v>
      </c>
      <c r="F527" s="2" t="s">
        <v>65</v>
      </c>
      <c r="G527" s="2" t="s">
        <v>66</v>
      </c>
      <c r="H527" s="2" t="s">
        <v>25</v>
      </c>
      <c r="I527" s="2" t="s">
        <v>26</v>
      </c>
      <c r="J527" s="2" t="s">
        <v>48</v>
      </c>
      <c r="K527" s="2" t="s">
        <v>49</v>
      </c>
      <c r="L527" s="2" t="s">
        <v>123</v>
      </c>
      <c r="M527" s="2">
        <v>3</v>
      </c>
      <c r="N527" s="3">
        <v>1200000</v>
      </c>
      <c r="O527" s="3">
        <v>1220468.57</v>
      </c>
      <c r="P527" s="4">
        <v>10</v>
      </c>
      <c r="Q527" s="2">
        <v>0</v>
      </c>
      <c r="R527" s="3">
        <v>3661405.71</v>
      </c>
      <c r="S527" s="3">
        <v>366140.57</v>
      </c>
      <c r="T527" s="3">
        <v>3295265.14</v>
      </c>
      <c r="U527" t="str">
        <f t="shared" si="8"/>
        <v>Achive</v>
      </c>
    </row>
    <row r="528" spans="1:21" x14ac:dyDescent="0.3">
      <c r="A528" s="2">
        <v>800306</v>
      </c>
      <c r="B528" s="10">
        <v>45682</v>
      </c>
      <c r="C528" s="2" t="s">
        <v>69</v>
      </c>
      <c r="D528" s="2" t="s">
        <v>83</v>
      </c>
      <c r="E528" s="2" t="s">
        <v>84</v>
      </c>
      <c r="F528" s="2" t="s">
        <v>41</v>
      </c>
      <c r="G528" s="2" t="s">
        <v>90</v>
      </c>
      <c r="H528" s="2" t="s">
        <v>25</v>
      </c>
      <c r="I528" s="2" t="s">
        <v>26</v>
      </c>
      <c r="J528" s="2" t="s">
        <v>105</v>
      </c>
      <c r="K528" s="2" t="s">
        <v>49</v>
      </c>
      <c r="L528" s="2" t="s">
        <v>78</v>
      </c>
      <c r="M528" s="2">
        <v>2</v>
      </c>
      <c r="N528" s="3">
        <v>950000</v>
      </c>
      <c r="O528" s="3">
        <v>958934.3</v>
      </c>
      <c r="P528" s="4">
        <v>7.5</v>
      </c>
      <c r="Q528" s="2">
        <v>0</v>
      </c>
      <c r="R528" s="3">
        <v>1917868.6</v>
      </c>
      <c r="S528" s="3">
        <v>143840.14000000001</v>
      </c>
      <c r="T528" s="3">
        <v>1774028.46</v>
      </c>
      <c r="U528" t="str">
        <f t="shared" si="8"/>
        <v>Not achive</v>
      </c>
    </row>
    <row r="529" spans="1:21" x14ac:dyDescent="0.3">
      <c r="A529" s="2">
        <v>800350</v>
      </c>
      <c r="B529" s="10">
        <v>45682</v>
      </c>
      <c r="C529" s="2" t="s">
        <v>20</v>
      </c>
      <c r="D529" s="2" t="s">
        <v>74</v>
      </c>
      <c r="E529" s="2" t="s">
        <v>113</v>
      </c>
      <c r="F529" s="2" t="s">
        <v>23</v>
      </c>
      <c r="G529" s="2" t="s">
        <v>24</v>
      </c>
      <c r="H529" s="2" t="s">
        <v>25</v>
      </c>
      <c r="I529" s="2" t="s">
        <v>26</v>
      </c>
      <c r="J529" s="2" t="s">
        <v>127</v>
      </c>
      <c r="K529" s="2" t="s">
        <v>130</v>
      </c>
      <c r="L529" s="2" t="s">
        <v>50</v>
      </c>
      <c r="M529" s="2">
        <v>3</v>
      </c>
      <c r="N529" s="3">
        <v>650000</v>
      </c>
      <c r="O529" s="3">
        <v>630691.72</v>
      </c>
      <c r="P529" s="4">
        <v>0</v>
      </c>
      <c r="Q529" s="2">
        <v>0</v>
      </c>
      <c r="R529" s="3">
        <v>1892075.16</v>
      </c>
      <c r="S529" s="3">
        <v>0</v>
      </c>
      <c r="T529" s="3">
        <v>1892075.16</v>
      </c>
      <c r="U529" t="str">
        <f t="shared" si="8"/>
        <v>Not achive</v>
      </c>
    </row>
    <row r="530" spans="1:21" x14ac:dyDescent="0.3">
      <c r="A530" s="2">
        <v>800375</v>
      </c>
      <c r="B530" s="10">
        <v>45682</v>
      </c>
      <c r="C530" s="2" t="s">
        <v>51</v>
      </c>
      <c r="D530" s="2" t="s">
        <v>106</v>
      </c>
      <c r="E530" s="2" t="s">
        <v>128</v>
      </c>
      <c r="F530" s="2" t="s">
        <v>23</v>
      </c>
      <c r="G530" s="2" t="s">
        <v>42</v>
      </c>
      <c r="H530" s="2" t="s">
        <v>25</v>
      </c>
      <c r="I530" s="2" t="s">
        <v>26</v>
      </c>
      <c r="J530" s="2" t="s">
        <v>76</v>
      </c>
      <c r="K530" s="2" t="s">
        <v>115</v>
      </c>
      <c r="L530" s="2" t="s">
        <v>123</v>
      </c>
      <c r="M530" s="2">
        <v>2</v>
      </c>
      <c r="N530" s="3">
        <v>700000</v>
      </c>
      <c r="O530" s="3">
        <v>691679.44</v>
      </c>
      <c r="P530" s="4">
        <v>0</v>
      </c>
      <c r="Q530" s="2">
        <v>0</v>
      </c>
      <c r="R530" s="3">
        <v>1383358.88</v>
      </c>
      <c r="S530" s="3">
        <v>0</v>
      </c>
      <c r="T530" s="3">
        <v>1383358.88</v>
      </c>
      <c r="U530" t="str">
        <f t="shared" si="8"/>
        <v>Not achive</v>
      </c>
    </row>
    <row r="531" spans="1:21" x14ac:dyDescent="0.3">
      <c r="A531" s="2">
        <v>800529</v>
      </c>
      <c r="B531" s="10">
        <v>45682</v>
      </c>
      <c r="C531" s="2" t="s">
        <v>38</v>
      </c>
      <c r="D531" s="2" t="s">
        <v>79</v>
      </c>
      <c r="E531" s="2" t="s">
        <v>133</v>
      </c>
      <c r="F531" s="2" t="s">
        <v>65</v>
      </c>
      <c r="G531" s="2" t="s">
        <v>90</v>
      </c>
      <c r="H531" s="2" t="s">
        <v>25</v>
      </c>
      <c r="I531" s="2" t="s">
        <v>26</v>
      </c>
      <c r="J531" s="2" t="s">
        <v>27</v>
      </c>
      <c r="K531" s="2" t="s">
        <v>58</v>
      </c>
      <c r="L531" s="2" t="s">
        <v>87</v>
      </c>
      <c r="M531" s="2">
        <v>1</v>
      </c>
      <c r="N531" s="3">
        <v>750000</v>
      </c>
      <c r="O531" s="3">
        <v>741582.46</v>
      </c>
      <c r="P531" s="4">
        <v>2</v>
      </c>
      <c r="Q531" s="2">
        <v>0</v>
      </c>
      <c r="R531" s="3">
        <v>741582.46</v>
      </c>
      <c r="S531" s="3">
        <v>14831.65</v>
      </c>
      <c r="T531" s="3">
        <v>726750.81</v>
      </c>
      <c r="U531" t="str">
        <f t="shared" si="8"/>
        <v>Not achive</v>
      </c>
    </row>
    <row r="532" spans="1:21" x14ac:dyDescent="0.3">
      <c r="A532" s="2">
        <v>800002</v>
      </c>
      <c r="B532" s="10">
        <v>45684</v>
      </c>
      <c r="C532" s="2" t="s">
        <v>51</v>
      </c>
      <c r="D532" s="2" t="s">
        <v>106</v>
      </c>
      <c r="E532" s="2" t="s">
        <v>128</v>
      </c>
      <c r="F532" s="2" t="s">
        <v>46</v>
      </c>
      <c r="G532" s="2" t="s">
        <v>94</v>
      </c>
      <c r="H532" s="2" t="s">
        <v>25</v>
      </c>
      <c r="I532" s="2" t="s">
        <v>67</v>
      </c>
      <c r="J532" s="2" t="s">
        <v>112</v>
      </c>
      <c r="K532" s="2" t="s">
        <v>58</v>
      </c>
      <c r="L532" s="2" t="s">
        <v>59</v>
      </c>
      <c r="M532" s="2">
        <v>1</v>
      </c>
      <c r="N532" s="3">
        <v>1250000</v>
      </c>
      <c r="O532" s="3">
        <v>1257251.23</v>
      </c>
      <c r="P532" s="4">
        <v>10</v>
      </c>
      <c r="Q532" s="2">
        <v>0</v>
      </c>
      <c r="R532" s="3">
        <v>1257251.23</v>
      </c>
      <c r="S532" s="3">
        <v>125725.12</v>
      </c>
      <c r="T532" s="3">
        <v>1131526.1100000001</v>
      </c>
      <c r="U532" t="str">
        <f t="shared" si="8"/>
        <v>Not achive</v>
      </c>
    </row>
    <row r="533" spans="1:21" x14ac:dyDescent="0.3">
      <c r="A533" s="2">
        <v>800230</v>
      </c>
      <c r="B533" s="10">
        <v>45684</v>
      </c>
      <c r="C533" s="2" t="s">
        <v>69</v>
      </c>
      <c r="D533" s="2" t="s">
        <v>70</v>
      </c>
      <c r="E533" s="2" t="s">
        <v>71</v>
      </c>
      <c r="F533" s="2" t="s">
        <v>23</v>
      </c>
      <c r="G533" s="2" t="s">
        <v>47</v>
      </c>
      <c r="H533" s="2" t="s">
        <v>25</v>
      </c>
      <c r="I533" s="2" t="s">
        <v>26</v>
      </c>
      <c r="J533" s="2" t="s">
        <v>105</v>
      </c>
      <c r="K533" s="2" t="s">
        <v>49</v>
      </c>
      <c r="L533" s="2" t="s">
        <v>37</v>
      </c>
      <c r="M533" s="2">
        <v>1</v>
      </c>
      <c r="N533" s="3">
        <v>950000</v>
      </c>
      <c r="O533" s="3">
        <v>958342.5</v>
      </c>
      <c r="P533" s="4">
        <v>2</v>
      </c>
      <c r="Q533" s="2">
        <v>0</v>
      </c>
      <c r="R533" s="3">
        <v>958342.5</v>
      </c>
      <c r="S533" s="3">
        <v>19166.849999999999</v>
      </c>
      <c r="T533" s="3">
        <v>939175.65</v>
      </c>
      <c r="U533" t="str">
        <f t="shared" si="8"/>
        <v>Not achive</v>
      </c>
    </row>
    <row r="534" spans="1:21" x14ac:dyDescent="0.3">
      <c r="A534" s="2">
        <v>800187</v>
      </c>
      <c r="B534" s="10">
        <v>45685</v>
      </c>
      <c r="C534" s="2" t="s">
        <v>38</v>
      </c>
      <c r="D534" s="2" t="s">
        <v>118</v>
      </c>
      <c r="E534" s="2" t="s">
        <v>119</v>
      </c>
      <c r="F534" s="2" t="s">
        <v>65</v>
      </c>
      <c r="G534" s="2" t="s">
        <v>100</v>
      </c>
      <c r="H534" s="2" t="s">
        <v>25</v>
      </c>
      <c r="I534" s="2" t="s">
        <v>26</v>
      </c>
      <c r="J534" s="2" t="s">
        <v>81</v>
      </c>
      <c r="K534" s="2" t="s">
        <v>82</v>
      </c>
      <c r="L534" s="2" t="s">
        <v>122</v>
      </c>
      <c r="M534" s="2">
        <v>2</v>
      </c>
      <c r="N534" s="3">
        <v>1700000</v>
      </c>
      <c r="O534" s="3">
        <v>1674542.58</v>
      </c>
      <c r="P534" s="4">
        <v>0</v>
      </c>
      <c r="Q534" s="2">
        <v>0</v>
      </c>
      <c r="R534" s="3">
        <v>3349085.16</v>
      </c>
      <c r="S534" s="3">
        <v>0</v>
      </c>
      <c r="T534" s="3">
        <v>3349085.16</v>
      </c>
      <c r="U534" t="str">
        <f t="shared" si="8"/>
        <v>Achive</v>
      </c>
    </row>
    <row r="535" spans="1:21" x14ac:dyDescent="0.3">
      <c r="A535" s="2">
        <v>800367</v>
      </c>
      <c r="B535" s="10">
        <v>45685</v>
      </c>
      <c r="C535" s="2" t="s">
        <v>69</v>
      </c>
      <c r="D535" s="2" t="s">
        <v>70</v>
      </c>
      <c r="E535" s="2" t="s">
        <v>136</v>
      </c>
      <c r="F535" s="2" t="s">
        <v>41</v>
      </c>
      <c r="G535" s="2" t="s">
        <v>42</v>
      </c>
      <c r="H535" s="2" t="s">
        <v>25</v>
      </c>
      <c r="I535" s="2" t="s">
        <v>26</v>
      </c>
      <c r="J535" s="2" t="s">
        <v>76</v>
      </c>
      <c r="K535" s="2" t="s">
        <v>117</v>
      </c>
      <c r="L535" s="2" t="s">
        <v>123</v>
      </c>
      <c r="M535" s="2">
        <v>3</v>
      </c>
      <c r="N535" s="3">
        <v>700000</v>
      </c>
      <c r="O535" s="3">
        <v>682966.85</v>
      </c>
      <c r="P535" s="4">
        <v>12.5</v>
      </c>
      <c r="Q535" s="2">
        <v>0</v>
      </c>
      <c r="R535" s="3">
        <v>2048900.55</v>
      </c>
      <c r="S535" s="3">
        <v>256112.57</v>
      </c>
      <c r="T535" s="3">
        <v>1792787.98</v>
      </c>
      <c r="U535" t="str">
        <f t="shared" si="8"/>
        <v>Not achive</v>
      </c>
    </row>
    <row r="536" spans="1:21" x14ac:dyDescent="0.3">
      <c r="A536" s="2">
        <v>800455</v>
      </c>
      <c r="B536" s="10">
        <v>45685</v>
      </c>
      <c r="C536" s="2" t="s">
        <v>20</v>
      </c>
      <c r="D536" s="2" t="s">
        <v>21</v>
      </c>
      <c r="E536" s="2" t="s">
        <v>98</v>
      </c>
      <c r="F536" s="2" t="s">
        <v>46</v>
      </c>
      <c r="G536" s="2" t="s">
        <v>54</v>
      </c>
      <c r="H536" s="2" t="s">
        <v>25</v>
      </c>
      <c r="I536" s="2" t="s">
        <v>43</v>
      </c>
      <c r="J536" s="2" t="s">
        <v>101</v>
      </c>
      <c r="K536" s="2" t="s">
        <v>45</v>
      </c>
      <c r="L536" s="2" t="s">
        <v>87</v>
      </c>
      <c r="M536" s="2">
        <v>4</v>
      </c>
      <c r="N536" s="3">
        <v>1000000</v>
      </c>
      <c r="O536" s="3">
        <v>986173.05</v>
      </c>
      <c r="P536" s="4">
        <v>0</v>
      </c>
      <c r="Q536" s="2">
        <v>0</v>
      </c>
      <c r="R536" s="3">
        <v>3944692.2</v>
      </c>
      <c r="S536" s="3">
        <v>0</v>
      </c>
      <c r="T536" s="3">
        <v>3944692.2</v>
      </c>
      <c r="U536" t="str">
        <f t="shared" si="8"/>
        <v>Achive</v>
      </c>
    </row>
    <row r="537" spans="1:21" x14ac:dyDescent="0.3">
      <c r="A537" s="2">
        <v>800619</v>
      </c>
      <c r="B537" s="10">
        <v>45685</v>
      </c>
      <c r="C537" s="2" t="s">
        <v>69</v>
      </c>
      <c r="D537" s="2" t="s">
        <v>70</v>
      </c>
      <c r="E537" s="2" t="s">
        <v>71</v>
      </c>
      <c r="F537" s="2" t="s">
        <v>46</v>
      </c>
      <c r="G537" s="2" t="s">
        <v>66</v>
      </c>
      <c r="H537" s="2" t="s">
        <v>25</v>
      </c>
      <c r="I537" s="2" t="s">
        <v>26</v>
      </c>
      <c r="J537" s="2" t="s">
        <v>81</v>
      </c>
      <c r="K537" s="2" t="s">
        <v>49</v>
      </c>
      <c r="L537" s="2" t="s">
        <v>123</v>
      </c>
      <c r="M537" s="2">
        <v>1</v>
      </c>
      <c r="N537" s="3">
        <v>1700000</v>
      </c>
      <c r="O537" s="3">
        <v>1673163.91</v>
      </c>
      <c r="P537" s="4">
        <v>0</v>
      </c>
      <c r="Q537" s="2">
        <v>0</v>
      </c>
      <c r="R537" s="3">
        <v>1673163.91</v>
      </c>
      <c r="S537" s="3">
        <v>0</v>
      </c>
      <c r="T537" s="3">
        <v>1673163.91</v>
      </c>
      <c r="U537" t="str">
        <f t="shared" si="8"/>
        <v>Not achive</v>
      </c>
    </row>
    <row r="538" spans="1:21" x14ac:dyDescent="0.3">
      <c r="A538" s="2">
        <v>800515</v>
      </c>
      <c r="B538" s="10">
        <v>45686</v>
      </c>
      <c r="C538" s="2" t="s">
        <v>20</v>
      </c>
      <c r="D538" s="2" t="s">
        <v>21</v>
      </c>
      <c r="E538" s="2" t="s">
        <v>22</v>
      </c>
      <c r="F538" s="2" t="s">
        <v>23</v>
      </c>
      <c r="G538" s="2" t="s">
        <v>61</v>
      </c>
      <c r="H538" s="2" t="s">
        <v>25</v>
      </c>
      <c r="I538" s="2" t="s">
        <v>43</v>
      </c>
      <c r="J538" s="2" t="s">
        <v>101</v>
      </c>
      <c r="K538" s="2" t="s">
        <v>102</v>
      </c>
      <c r="L538" s="2" t="s">
        <v>122</v>
      </c>
      <c r="M538" s="2">
        <v>2</v>
      </c>
      <c r="N538" s="3">
        <v>1000000</v>
      </c>
      <c r="O538" s="3">
        <v>971784.91</v>
      </c>
      <c r="P538" s="4">
        <v>0</v>
      </c>
      <c r="Q538" s="2">
        <v>0</v>
      </c>
      <c r="R538" s="3">
        <v>1943569.82</v>
      </c>
      <c r="S538" s="3">
        <v>0</v>
      </c>
      <c r="T538" s="3">
        <v>1943569.82</v>
      </c>
      <c r="U538" t="str">
        <f t="shared" si="8"/>
        <v>Not achive</v>
      </c>
    </row>
    <row r="539" spans="1:21" x14ac:dyDescent="0.3">
      <c r="A539" s="2">
        <v>800066</v>
      </c>
      <c r="B539" s="10">
        <v>45687</v>
      </c>
      <c r="C539" s="2" t="s">
        <v>69</v>
      </c>
      <c r="D539" s="2" t="s">
        <v>70</v>
      </c>
      <c r="E539" s="2" t="s">
        <v>71</v>
      </c>
      <c r="F539" s="2" t="s">
        <v>32</v>
      </c>
      <c r="G539" s="2" t="s">
        <v>90</v>
      </c>
      <c r="H539" s="2" t="s">
        <v>25</v>
      </c>
      <c r="I539" s="2" t="s">
        <v>26</v>
      </c>
      <c r="J539" s="2" t="s">
        <v>81</v>
      </c>
      <c r="K539" s="2" t="s">
        <v>49</v>
      </c>
      <c r="L539" s="2" t="s">
        <v>78</v>
      </c>
      <c r="M539" s="2">
        <v>1</v>
      </c>
      <c r="N539" s="3">
        <v>1700000</v>
      </c>
      <c r="O539" s="3">
        <v>1655069.84</v>
      </c>
      <c r="P539" s="4">
        <v>0</v>
      </c>
      <c r="Q539" s="2">
        <v>0</v>
      </c>
      <c r="R539" s="3">
        <v>1655069.84</v>
      </c>
      <c r="S539" s="3">
        <v>0</v>
      </c>
      <c r="T539" s="3">
        <v>1655069.84</v>
      </c>
      <c r="U539" t="str">
        <f t="shared" si="8"/>
        <v>Not achive</v>
      </c>
    </row>
    <row r="540" spans="1:21" x14ac:dyDescent="0.3">
      <c r="A540" s="2">
        <v>800055</v>
      </c>
      <c r="B540" s="10">
        <v>45688</v>
      </c>
      <c r="C540" s="2" t="s">
        <v>20</v>
      </c>
      <c r="D540" s="2" t="s">
        <v>74</v>
      </c>
      <c r="E540" s="2" t="s">
        <v>75</v>
      </c>
      <c r="F540" s="2" t="s">
        <v>23</v>
      </c>
      <c r="G540" s="2" t="s">
        <v>24</v>
      </c>
      <c r="H540" s="2" t="s">
        <v>25</v>
      </c>
      <c r="I540" s="2" t="s">
        <v>26</v>
      </c>
      <c r="J540" s="2" t="s">
        <v>57</v>
      </c>
      <c r="K540" s="2" t="s">
        <v>103</v>
      </c>
      <c r="L540" s="2" t="s">
        <v>122</v>
      </c>
      <c r="M540" s="2">
        <v>2</v>
      </c>
      <c r="N540" s="3">
        <v>800000</v>
      </c>
      <c r="O540" s="3">
        <v>807913.29</v>
      </c>
      <c r="P540" s="4">
        <v>7.5</v>
      </c>
      <c r="Q540" s="2">
        <v>0</v>
      </c>
      <c r="R540" s="3">
        <v>1615826.58</v>
      </c>
      <c r="S540" s="3">
        <v>121186.99</v>
      </c>
      <c r="T540" s="3">
        <v>1494639.59</v>
      </c>
      <c r="U540" t="str">
        <f t="shared" si="8"/>
        <v>Not achive</v>
      </c>
    </row>
    <row r="541" spans="1:21" x14ac:dyDescent="0.3">
      <c r="A541" s="2">
        <v>800611</v>
      </c>
      <c r="B541" s="10">
        <v>45688</v>
      </c>
      <c r="C541" s="2" t="s">
        <v>20</v>
      </c>
      <c r="D541" s="2" t="s">
        <v>21</v>
      </c>
      <c r="E541" s="2" t="s">
        <v>98</v>
      </c>
      <c r="F541" s="2" t="s">
        <v>23</v>
      </c>
      <c r="G541" s="2" t="s">
        <v>100</v>
      </c>
      <c r="H541" s="2" t="s">
        <v>25</v>
      </c>
      <c r="I541" s="2" t="s">
        <v>43</v>
      </c>
      <c r="J541" s="2" t="s">
        <v>44</v>
      </c>
      <c r="K541" s="2" t="s">
        <v>129</v>
      </c>
      <c r="L541" s="2" t="s">
        <v>87</v>
      </c>
      <c r="M541" s="2">
        <v>6</v>
      </c>
      <c r="N541" s="3">
        <v>800000</v>
      </c>
      <c r="O541" s="3">
        <v>784488.71</v>
      </c>
      <c r="P541" s="4">
        <v>10</v>
      </c>
      <c r="Q541" s="2">
        <v>0</v>
      </c>
      <c r="R541" s="3">
        <v>4706932.26</v>
      </c>
      <c r="S541" s="3">
        <v>470693.23</v>
      </c>
      <c r="T541" s="3">
        <v>4236239.03</v>
      </c>
      <c r="U541" t="str">
        <f t="shared" si="8"/>
        <v>Achive</v>
      </c>
    </row>
    <row r="542" spans="1:21" x14ac:dyDescent="0.3">
      <c r="A542" s="2">
        <v>800067</v>
      </c>
      <c r="B542" s="10">
        <v>45689</v>
      </c>
      <c r="C542" s="2" t="s">
        <v>38</v>
      </c>
      <c r="D542" s="2" t="s">
        <v>63</v>
      </c>
      <c r="E542" s="2" t="s">
        <v>114</v>
      </c>
      <c r="F542" s="2" t="s">
        <v>23</v>
      </c>
      <c r="G542" s="2" t="s">
        <v>33</v>
      </c>
      <c r="H542" s="2" t="s">
        <v>25</v>
      </c>
      <c r="I542" s="2" t="s">
        <v>67</v>
      </c>
      <c r="J542" s="2" t="s">
        <v>68</v>
      </c>
      <c r="K542" s="2" t="s">
        <v>91</v>
      </c>
      <c r="L542" s="2" t="s">
        <v>87</v>
      </c>
      <c r="M542" s="2">
        <v>2</v>
      </c>
      <c r="N542" s="3">
        <v>1200000</v>
      </c>
      <c r="O542" s="3">
        <v>1194028.33</v>
      </c>
      <c r="P542" s="4">
        <v>12.5</v>
      </c>
      <c r="Q542" s="2">
        <v>0</v>
      </c>
      <c r="R542" s="3">
        <v>2388056.66</v>
      </c>
      <c r="S542" s="3">
        <v>298507.08</v>
      </c>
      <c r="T542" s="3">
        <v>2089549.58</v>
      </c>
      <c r="U542" t="str">
        <f t="shared" si="8"/>
        <v>Achive</v>
      </c>
    </row>
    <row r="543" spans="1:21" x14ac:dyDescent="0.3">
      <c r="A543" s="2">
        <v>800380</v>
      </c>
      <c r="B543" s="10">
        <v>45689</v>
      </c>
      <c r="C543" s="2" t="s">
        <v>20</v>
      </c>
      <c r="D543" s="2" t="s">
        <v>30</v>
      </c>
      <c r="E543" s="2" t="s">
        <v>88</v>
      </c>
      <c r="F543" s="2" t="s">
        <v>32</v>
      </c>
      <c r="G543" s="2" t="s">
        <v>116</v>
      </c>
      <c r="H543" s="2" t="s">
        <v>25</v>
      </c>
      <c r="I543" s="2" t="s">
        <v>34</v>
      </c>
      <c r="J543" s="2" t="s">
        <v>35</v>
      </c>
      <c r="K543" s="2" t="s">
        <v>45</v>
      </c>
      <c r="L543" s="2" t="s">
        <v>37</v>
      </c>
      <c r="M543" s="2">
        <v>4</v>
      </c>
      <c r="N543" s="3">
        <v>550000</v>
      </c>
      <c r="O543" s="3">
        <v>533794.54</v>
      </c>
      <c r="P543" s="4">
        <v>5</v>
      </c>
      <c r="Q543" s="2">
        <v>0</v>
      </c>
      <c r="R543" s="3">
        <v>2135178.16</v>
      </c>
      <c r="S543" s="3">
        <v>106758.91</v>
      </c>
      <c r="T543" s="3">
        <v>2028419.25</v>
      </c>
      <c r="U543" t="str">
        <f t="shared" si="8"/>
        <v>Achive</v>
      </c>
    </row>
    <row r="544" spans="1:21" x14ac:dyDescent="0.3">
      <c r="A544" s="2">
        <v>800554</v>
      </c>
      <c r="B544" s="10">
        <v>45689</v>
      </c>
      <c r="C544" s="2" t="s">
        <v>69</v>
      </c>
      <c r="D544" s="2" t="s">
        <v>83</v>
      </c>
      <c r="E544" s="2" t="s">
        <v>84</v>
      </c>
      <c r="F544" s="2" t="s">
        <v>23</v>
      </c>
      <c r="G544" s="2" t="s">
        <v>66</v>
      </c>
      <c r="H544" s="2" t="s">
        <v>25</v>
      </c>
      <c r="I544" s="2" t="s">
        <v>67</v>
      </c>
      <c r="J544" s="2" t="s">
        <v>68</v>
      </c>
      <c r="K544" s="2" t="s">
        <v>49</v>
      </c>
      <c r="L544" s="2" t="s">
        <v>87</v>
      </c>
      <c r="M544" s="2">
        <v>3</v>
      </c>
      <c r="N544" s="3">
        <v>1200000</v>
      </c>
      <c r="O544" s="3">
        <v>1217785.73</v>
      </c>
      <c r="P544" s="4">
        <v>0</v>
      </c>
      <c r="Q544" s="2">
        <v>0</v>
      </c>
      <c r="R544" s="3">
        <v>3653357.19</v>
      </c>
      <c r="S544" s="3">
        <v>0</v>
      </c>
      <c r="T544" s="3">
        <v>3653357.19</v>
      </c>
      <c r="U544" t="str">
        <f t="shared" si="8"/>
        <v>Achive</v>
      </c>
    </row>
    <row r="545" spans="1:21" x14ac:dyDescent="0.3">
      <c r="A545" s="2">
        <v>800561</v>
      </c>
      <c r="B545" s="10">
        <v>45689</v>
      </c>
      <c r="C545" s="2" t="s">
        <v>51</v>
      </c>
      <c r="D545" s="2" t="s">
        <v>55</v>
      </c>
      <c r="E545" s="2" t="s">
        <v>137</v>
      </c>
      <c r="F545" s="2" t="s">
        <v>32</v>
      </c>
      <c r="G545" s="2" t="s">
        <v>42</v>
      </c>
      <c r="H545" s="2" t="s">
        <v>25</v>
      </c>
      <c r="I545" s="2" t="s">
        <v>43</v>
      </c>
      <c r="J545" s="2" t="s">
        <v>101</v>
      </c>
      <c r="K545" s="2" t="s">
        <v>45</v>
      </c>
      <c r="L545" s="2" t="s">
        <v>59</v>
      </c>
      <c r="M545" s="2">
        <v>2</v>
      </c>
      <c r="N545" s="3">
        <v>1000000</v>
      </c>
      <c r="O545" s="3">
        <v>1008322.12</v>
      </c>
      <c r="P545" s="4">
        <v>0</v>
      </c>
      <c r="Q545" s="2">
        <v>0</v>
      </c>
      <c r="R545" s="3">
        <v>2016644.24</v>
      </c>
      <c r="S545" s="3">
        <v>0</v>
      </c>
      <c r="T545" s="3">
        <v>2016644.24</v>
      </c>
      <c r="U545" t="str">
        <f t="shared" si="8"/>
        <v>Achive</v>
      </c>
    </row>
    <row r="546" spans="1:21" x14ac:dyDescent="0.3">
      <c r="A546" s="2">
        <v>800432</v>
      </c>
      <c r="B546" s="10">
        <v>45691</v>
      </c>
      <c r="C546" s="2" t="s">
        <v>20</v>
      </c>
      <c r="D546" s="2" t="s">
        <v>21</v>
      </c>
      <c r="E546" s="2" t="s">
        <v>98</v>
      </c>
      <c r="F546" s="2" t="s">
        <v>65</v>
      </c>
      <c r="G546" s="2" t="s">
        <v>24</v>
      </c>
      <c r="H546" s="2" t="s">
        <v>25</v>
      </c>
      <c r="I546" s="2" t="s">
        <v>43</v>
      </c>
      <c r="J546" s="2" t="s">
        <v>101</v>
      </c>
      <c r="K546" s="2" t="s">
        <v>102</v>
      </c>
      <c r="L546" s="2" t="s">
        <v>87</v>
      </c>
      <c r="M546" s="2">
        <v>1</v>
      </c>
      <c r="N546" s="3">
        <v>1000000</v>
      </c>
      <c r="O546" s="3">
        <v>1013489.33</v>
      </c>
      <c r="P546" s="4">
        <v>2</v>
      </c>
      <c r="Q546" s="2">
        <v>0</v>
      </c>
      <c r="R546" s="3">
        <v>1013489.33</v>
      </c>
      <c r="S546" s="3">
        <v>20269.79</v>
      </c>
      <c r="T546" s="3">
        <v>993219.54</v>
      </c>
      <c r="U546" t="str">
        <f t="shared" si="8"/>
        <v>Not achive</v>
      </c>
    </row>
    <row r="547" spans="1:21" x14ac:dyDescent="0.3">
      <c r="A547" s="2">
        <v>800461</v>
      </c>
      <c r="B547" s="10">
        <v>45691</v>
      </c>
      <c r="C547" s="2" t="s">
        <v>38</v>
      </c>
      <c r="D547" s="2" t="s">
        <v>79</v>
      </c>
      <c r="E547" s="2" t="s">
        <v>133</v>
      </c>
      <c r="F547" s="2" t="s">
        <v>46</v>
      </c>
      <c r="G547" s="2" t="s">
        <v>100</v>
      </c>
      <c r="H547" s="2" t="s">
        <v>25</v>
      </c>
      <c r="I547" s="2" t="s">
        <v>26</v>
      </c>
      <c r="J547" s="2" t="s">
        <v>127</v>
      </c>
      <c r="K547" s="2" t="s">
        <v>99</v>
      </c>
      <c r="L547" s="2" t="s">
        <v>123</v>
      </c>
      <c r="M547" s="2">
        <v>1</v>
      </c>
      <c r="N547" s="3">
        <v>650000</v>
      </c>
      <c r="O547" s="3">
        <v>635224.67000000004</v>
      </c>
      <c r="P547" s="4">
        <v>0</v>
      </c>
      <c r="Q547" s="2">
        <v>0</v>
      </c>
      <c r="R547" s="3">
        <v>635224.67000000004</v>
      </c>
      <c r="S547" s="3">
        <v>0</v>
      </c>
      <c r="T547" s="3">
        <v>635224.67000000004</v>
      </c>
      <c r="U547" t="str">
        <f t="shared" si="8"/>
        <v>Not achive</v>
      </c>
    </row>
    <row r="548" spans="1:21" x14ac:dyDescent="0.3">
      <c r="A548" s="2">
        <v>800126</v>
      </c>
      <c r="B548" s="10">
        <v>45692</v>
      </c>
      <c r="C548" s="2" t="s">
        <v>69</v>
      </c>
      <c r="D548" s="2" t="s">
        <v>70</v>
      </c>
      <c r="E548" s="2" t="s">
        <v>136</v>
      </c>
      <c r="F548" s="2" t="s">
        <v>32</v>
      </c>
      <c r="G548" s="2" t="s">
        <v>66</v>
      </c>
      <c r="H548" s="2" t="s">
        <v>25</v>
      </c>
      <c r="I548" s="2" t="s">
        <v>26</v>
      </c>
      <c r="J548" s="2" t="s">
        <v>48</v>
      </c>
      <c r="K548" s="2" t="s">
        <v>89</v>
      </c>
      <c r="L548" s="2" t="s">
        <v>87</v>
      </c>
      <c r="M548" s="2">
        <v>3</v>
      </c>
      <c r="N548" s="3">
        <v>1200000</v>
      </c>
      <c r="O548" s="3">
        <v>1195647.5900000001</v>
      </c>
      <c r="P548" s="4">
        <v>0</v>
      </c>
      <c r="Q548" s="2">
        <v>0</v>
      </c>
      <c r="R548" s="3">
        <v>3586942.77</v>
      </c>
      <c r="S548" s="3">
        <v>0</v>
      </c>
      <c r="T548" s="3">
        <v>3586942.77</v>
      </c>
      <c r="U548" t="str">
        <f t="shared" si="8"/>
        <v>Achive</v>
      </c>
    </row>
    <row r="549" spans="1:21" x14ac:dyDescent="0.3">
      <c r="A549" s="2">
        <v>800399</v>
      </c>
      <c r="B549" s="10">
        <v>45692</v>
      </c>
      <c r="C549" s="2" t="s">
        <v>20</v>
      </c>
      <c r="D549" s="2" t="s">
        <v>30</v>
      </c>
      <c r="E549" s="2" t="s">
        <v>88</v>
      </c>
      <c r="F549" s="2" t="s">
        <v>41</v>
      </c>
      <c r="G549" s="2" t="s">
        <v>61</v>
      </c>
      <c r="H549" s="2" t="s">
        <v>25</v>
      </c>
      <c r="I549" s="2" t="s">
        <v>26</v>
      </c>
      <c r="J549" s="2" t="s">
        <v>57</v>
      </c>
      <c r="K549" s="2" t="s">
        <v>103</v>
      </c>
      <c r="L549" s="2" t="s">
        <v>122</v>
      </c>
      <c r="M549" s="2">
        <v>2</v>
      </c>
      <c r="N549" s="3">
        <v>800000</v>
      </c>
      <c r="O549" s="3">
        <v>788675.13</v>
      </c>
      <c r="P549" s="4">
        <v>5</v>
      </c>
      <c r="Q549" s="2">
        <v>0</v>
      </c>
      <c r="R549" s="3">
        <v>1577350.26</v>
      </c>
      <c r="S549" s="3">
        <v>78867.509999999995</v>
      </c>
      <c r="T549" s="3">
        <v>1498482.75</v>
      </c>
      <c r="U549" t="str">
        <f t="shared" si="8"/>
        <v>Not achive</v>
      </c>
    </row>
    <row r="550" spans="1:21" x14ac:dyDescent="0.3">
      <c r="A550" s="2">
        <v>800449</v>
      </c>
      <c r="B550" s="10">
        <v>45692</v>
      </c>
      <c r="C550" s="2" t="s">
        <v>38</v>
      </c>
      <c r="D550" s="2" t="s">
        <v>79</v>
      </c>
      <c r="E550" s="2" t="s">
        <v>138</v>
      </c>
      <c r="F550" s="2" t="s">
        <v>46</v>
      </c>
      <c r="G550" s="2" t="s">
        <v>90</v>
      </c>
      <c r="H550" s="2" t="s">
        <v>25</v>
      </c>
      <c r="I550" s="2" t="s">
        <v>26</v>
      </c>
      <c r="J550" s="2" t="s">
        <v>81</v>
      </c>
      <c r="K550" s="2" t="s">
        <v>49</v>
      </c>
      <c r="L550" s="2" t="s">
        <v>123</v>
      </c>
      <c r="M550" s="2">
        <v>1</v>
      </c>
      <c r="N550" s="3">
        <v>1700000</v>
      </c>
      <c r="O550" s="3">
        <v>1707492.01</v>
      </c>
      <c r="P550" s="4">
        <v>12.5</v>
      </c>
      <c r="Q550" s="2">
        <v>0</v>
      </c>
      <c r="R550" s="3">
        <v>1707492.01</v>
      </c>
      <c r="S550" s="3">
        <v>213436.5</v>
      </c>
      <c r="T550" s="3">
        <v>1494055.51</v>
      </c>
      <c r="U550" t="str">
        <f t="shared" si="8"/>
        <v>Not achive</v>
      </c>
    </row>
    <row r="551" spans="1:21" x14ac:dyDescent="0.3">
      <c r="A551" s="2">
        <v>800482</v>
      </c>
      <c r="B551" s="10">
        <v>45692</v>
      </c>
      <c r="C551" s="2" t="s">
        <v>20</v>
      </c>
      <c r="D551" s="2" t="s">
        <v>74</v>
      </c>
      <c r="E551" s="2" t="s">
        <v>75</v>
      </c>
      <c r="F551" s="2" t="s">
        <v>41</v>
      </c>
      <c r="G551" s="2" t="s">
        <v>66</v>
      </c>
      <c r="H551" s="2" t="s">
        <v>25</v>
      </c>
      <c r="I551" s="2" t="s">
        <v>26</v>
      </c>
      <c r="J551" s="2" t="s">
        <v>27</v>
      </c>
      <c r="K551" s="2" t="s">
        <v>28</v>
      </c>
      <c r="L551" s="2" t="s">
        <v>37</v>
      </c>
      <c r="M551" s="2">
        <v>2</v>
      </c>
      <c r="N551" s="3">
        <v>750000</v>
      </c>
      <c r="O551" s="3">
        <v>759216.23</v>
      </c>
      <c r="P551" s="4">
        <v>5</v>
      </c>
      <c r="Q551" s="2">
        <v>0</v>
      </c>
      <c r="R551" s="3">
        <v>1518432.46</v>
      </c>
      <c r="S551" s="3">
        <v>75921.62</v>
      </c>
      <c r="T551" s="3">
        <v>1442510.84</v>
      </c>
      <c r="U551" t="str">
        <f t="shared" si="8"/>
        <v>Not achive</v>
      </c>
    </row>
    <row r="552" spans="1:21" x14ac:dyDescent="0.3">
      <c r="A552" s="2">
        <v>800216</v>
      </c>
      <c r="B552" s="10">
        <v>45696</v>
      </c>
      <c r="C552" s="2" t="s">
        <v>20</v>
      </c>
      <c r="D552" s="2" t="s">
        <v>30</v>
      </c>
      <c r="E552" s="2" t="s">
        <v>31</v>
      </c>
      <c r="F552" s="2" t="s">
        <v>65</v>
      </c>
      <c r="G552" s="2" t="s">
        <v>33</v>
      </c>
      <c r="H552" s="2" t="s">
        <v>25</v>
      </c>
      <c r="I552" s="2" t="s">
        <v>43</v>
      </c>
      <c r="J552" s="2" t="s">
        <v>101</v>
      </c>
      <c r="K552" s="2" t="s">
        <v>45</v>
      </c>
      <c r="L552" s="2" t="s">
        <v>50</v>
      </c>
      <c r="M552" s="2">
        <v>2</v>
      </c>
      <c r="N552" s="3">
        <v>1000000</v>
      </c>
      <c r="O552" s="3">
        <v>1002880.08</v>
      </c>
      <c r="P552" s="4">
        <v>7.5</v>
      </c>
      <c r="Q552" s="2">
        <v>0</v>
      </c>
      <c r="R552" s="3">
        <v>2005760.16</v>
      </c>
      <c r="S552" s="3">
        <v>150432.01</v>
      </c>
      <c r="T552" s="3">
        <v>1855328.15</v>
      </c>
      <c r="U552" t="str">
        <f t="shared" si="8"/>
        <v>Not achive</v>
      </c>
    </row>
    <row r="553" spans="1:21" x14ac:dyDescent="0.3">
      <c r="A553" s="2">
        <v>800276</v>
      </c>
      <c r="B553" s="10">
        <v>45696</v>
      </c>
      <c r="C553" s="2" t="s">
        <v>38</v>
      </c>
      <c r="D553" s="2" t="s">
        <v>79</v>
      </c>
      <c r="E553" s="2" t="s">
        <v>133</v>
      </c>
      <c r="F553" s="2" t="s">
        <v>41</v>
      </c>
      <c r="G553" s="2" t="s">
        <v>33</v>
      </c>
      <c r="H553" s="2" t="s">
        <v>25</v>
      </c>
      <c r="I553" s="2" t="s">
        <v>67</v>
      </c>
      <c r="J553" s="2" t="s">
        <v>112</v>
      </c>
      <c r="K553" s="2" t="s">
        <v>99</v>
      </c>
      <c r="L553" s="2" t="s">
        <v>92</v>
      </c>
      <c r="M553" s="2">
        <v>1</v>
      </c>
      <c r="N553" s="3">
        <v>1250000</v>
      </c>
      <c r="O553" s="3">
        <v>1223880.1100000001</v>
      </c>
      <c r="P553" s="4">
        <v>7.5</v>
      </c>
      <c r="Q553" s="2">
        <v>0</v>
      </c>
      <c r="R553" s="3">
        <v>1223880.1100000001</v>
      </c>
      <c r="S553" s="3">
        <v>91791.01</v>
      </c>
      <c r="T553" s="3">
        <v>1132089.1000000001</v>
      </c>
      <c r="U553" t="str">
        <f t="shared" si="8"/>
        <v>Not achive</v>
      </c>
    </row>
    <row r="554" spans="1:21" x14ac:dyDescent="0.3">
      <c r="A554" s="2">
        <v>800524</v>
      </c>
      <c r="B554" s="10">
        <v>45696</v>
      </c>
      <c r="C554" s="2" t="s">
        <v>69</v>
      </c>
      <c r="D554" s="2" t="s">
        <v>83</v>
      </c>
      <c r="E554" s="2" t="s">
        <v>84</v>
      </c>
      <c r="F554" s="2" t="s">
        <v>32</v>
      </c>
      <c r="G554" s="2" t="s">
        <v>66</v>
      </c>
      <c r="H554" s="2" t="s">
        <v>25</v>
      </c>
      <c r="I554" s="2" t="s">
        <v>67</v>
      </c>
      <c r="J554" s="2" t="s">
        <v>85</v>
      </c>
      <c r="K554" s="2" t="s">
        <v>89</v>
      </c>
      <c r="L554" s="2" t="s">
        <v>73</v>
      </c>
      <c r="M554" s="2">
        <v>3</v>
      </c>
      <c r="N554" s="3">
        <v>1500000</v>
      </c>
      <c r="O554" s="3">
        <v>1506875.52</v>
      </c>
      <c r="P554" s="4">
        <v>0</v>
      </c>
      <c r="Q554" s="2">
        <v>0</v>
      </c>
      <c r="R554" s="3">
        <v>4520626.5599999996</v>
      </c>
      <c r="S554" s="3">
        <v>0</v>
      </c>
      <c r="T554" s="3">
        <v>4520626.5599999996</v>
      </c>
      <c r="U554" t="str">
        <f t="shared" si="8"/>
        <v>Achive</v>
      </c>
    </row>
    <row r="555" spans="1:21" x14ac:dyDescent="0.3">
      <c r="A555" s="2">
        <v>800204</v>
      </c>
      <c r="B555" s="10">
        <v>45697</v>
      </c>
      <c r="C555" s="2" t="s">
        <v>38</v>
      </c>
      <c r="D555" s="2" t="s">
        <v>63</v>
      </c>
      <c r="E555" s="2" t="s">
        <v>114</v>
      </c>
      <c r="F555" s="2" t="s">
        <v>41</v>
      </c>
      <c r="G555" s="2" t="s">
        <v>94</v>
      </c>
      <c r="H555" s="2" t="s">
        <v>25</v>
      </c>
      <c r="I555" s="2" t="s">
        <v>26</v>
      </c>
      <c r="J555" s="2" t="s">
        <v>120</v>
      </c>
      <c r="K555" s="2" t="s">
        <v>77</v>
      </c>
      <c r="L555" s="2" t="s">
        <v>29</v>
      </c>
      <c r="M555" s="2">
        <v>1</v>
      </c>
      <c r="N555" s="3">
        <v>1900000</v>
      </c>
      <c r="O555" s="3">
        <v>1884523.38</v>
      </c>
      <c r="P555" s="4">
        <v>0</v>
      </c>
      <c r="Q555" s="2">
        <v>0</v>
      </c>
      <c r="R555" s="3">
        <v>1884523.38</v>
      </c>
      <c r="S555" s="3">
        <v>0</v>
      </c>
      <c r="T555" s="3">
        <v>1884523.38</v>
      </c>
      <c r="U555" t="str">
        <f t="shared" si="8"/>
        <v>Not achive</v>
      </c>
    </row>
    <row r="556" spans="1:21" x14ac:dyDescent="0.3">
      <c r="A556" s="2">
        <v>800361</v>
      </c>
      <c r="B556" s="10">
        <v>45697</v>
      </c>
      <c r="C556" s="2" t="s">
        <v>38</v>
      </c>
      <c r="D556" s="2" t="s">
        <v>79</v>
      </c>
      <c r="E556" s="2" t="s">
        <v>80</v>
      </c>
      <c r="F556" s="2" t="s">
        <v>32</v>
      </c>
      <c r="G556" s="2" t="s">
        <v>94</v>
      </c>
      <c r="H556" s="2" t="s">
        <v>25</v>
      </c>
      <c r="I556" s="2" t="s">
        <v>26</v>
      </c>
      <c r="J556" s="2" t="s">
        <v>27</v>
      </c>
      <c r="K556" s="2" t="s">
        <v>28</v>
      </c>
      <c r="L556" s="2" t="s">
        <v>123</v>
      </c>
      <c r="M556" s="2">
        <v>3</v>
      </c>
      <c r="N556" s="3">
        <v>750000</v>
      </c>
      <c r="O556" s="3">
        <v>727897.19</v>
      </c>
      <c r="P556" s="4">
        <v>2</v>
      </c>
      <c r="Q556" s="2">
        <v>0</v>
      </c>
      <c r="R556" s="3">
        <v>2183691.5699999998</v>
      </c>
      <c r="S556" s="3">
        <v>43673.83</v>
      </c>
      <c r="T556" s="3">
        <v>2140017.7400000002</v>
      </c>
      <c r="U556" t="str">
        <f t="shared" si="8"/>
        <v>Achive</v>
      </c>
    </row>
    <row r="557" spans="1:21" x14ac:dyDescent="0.3">
      <c r="A557" s="2">
        <v>800624</v>
      </c>
      <c r="B557" s="10">
        <v>45697</v>
      </c>
      <c r="C557" s="2" t="s">
        <v>69</v>
      </c>
      <c r="D557" s="2" t="s">
        <v>70</v>
      </c>
      <c r="E557" s="2" t="s">
        <v>93</v>
      </c>
      <c r="F557" s="2" t="s">
        <v>23</v>
      </c>
      <c r="G557" s="2" t="s">
        <v>66</v>
      </c>
      <c r="H557" s="2" t="s">
        <v>25</v>
      </c>
      <c r="I557" s="2" t="s">
        <v>67</v>
      </c>
      <c r="J557" s="2" t="s">
        <v>68</v>
      </c>
      <c r="K557" s="2" t="s">
        <v>91</v>
      </c>
      <c r="L557" s="2" t="s">
        <v>92</v>
      </c>
      <c r="M557" s="2">
        <v>2</v>
      </c>
      <c r="N557" s="3">
        <v>1200000</v>
      </c>
      <c r="O557" s="3">
        <v>1169413.3400000001</v>
      </c>
      <c r="P557" s="4">
        <v>10</v>
      </c>
      <c r="Q557" s="2">
        <v>0</v>
      </c>
      <c r="R557" s="3">
        <v>2338826.6800000002</v>
      </c>
      <c r="S557" s="3">
        <v>233882.67</v>
      </c>
      <c r="T557" s="3">
        <v>2104944.0099999998</v>
      </c>
      <c r="U557" t="str">
        <f t="shared" si="8"/>
        <v>Achive</v>
      </c>
    </row>
    <row r="558" spans="1:21" x14ac:dyDescent="0.3">
      <c r="A558" s="2">
        <v>800498</v>
      </c>
      <c r="B558" s="10">
        <v>45698</v>
      </c>
      <c r="C558" s="2" t="s">
        <v>51</v>
      </c>
      <c r="D558" s="2" t="s">
        <v>55</v>
      </c>
      <c r="E558" s="2" t="s">
        <v>56</v>
      </c>
      <c r="F558" s="2" t="s">
        <v>65</v>
      </c>
      <c r="G558" s="2" t="s">
        <v>66</v>
      </c>
      <c r="H558" s="2" t="s">
        <v>25</v>
      </c>
      <c r="I558" s="2" t="s">
        <v>26</v>
      </c>
      <c r="J558" s="2" t="s">
        <v>27</v>
      </c>
      <c r="K558" s="2" t="s">
        <v>58</v>
      </c>
      <c r="L558" s="2" t="s">
        <v>59</v>
      </c>
      <c r="M558" s="2">
        <v>1</v>
      </c>
      <c r="N558" s="3">
        <v>750000</v>
      </c>
      <c r="O558" s="3">
        <v>759429.2</v>
      </c>
      <c r="P558" s="4">
        <v>5</v>
      </c>
      <c r="Q558" s="2">
        <v>0</v>
      </c>
      <c r="R558" s="3">
        <v>759429.2</v>
      </c>
      <c r="S558" s="3">
        <v>37971.46</v>
      </c>
      <c r="T558" s="3">
        <v>721457.74</v>
      </c>
      <c r="U558" t="str">
        <f t="shared" si="8"/>
        <v>Not achive</v>
      </c>
    </row>
    <row r="559" spans="1:21" x14ac:dyDescent="0.3">
      <c r="A559" s="2">
        <v>800197</v>
      </c>
      <c r="B559" s="10">
        <v>45699</v>
      </c>
      <c r="C559" s="2" t="s">
        <v>51</v>
      </c>
      <c r="D559" s="2" t="s">
        <v>106</v>
      </c>
      <c r="E559" s="2" t="s">
        <v>107</v>
      </c>
      <c r="F559" s="2" t="s">
        <v>46</v>
      </c>
      <c r="G559" s="2" t="s">
        <v>42</v>
      </c>
      <c r="H559" s="2" t="s">
        <v>25</v>
      </c>
      <c r="I559" s="2" t="s">
        <v>26</v>
      </c>
      <c r="J559" s="2" t="s">
        <v>76</v>
      </c>
      <c r="K559" s="2" t="s">
        <v>77</v>
      </c>
      <c r="L559" s="2" t="s">
        <v>73</v>
      </c>
      <c r="M559" s="2">
        <v>1</v>
      </c>
      <c r="N559" s="3">
        <v>700000</v>
      </c>
      <c r="O559" s="3">
        <v>686655.19</v>
      </c>
      <c r="P559" s="4">
        <v>12.5</v>
      </c>
      <c r="Q559" s="2">
        <v>0</v>
      </c>
      <c r="R559" s="3">
        <v>686655.19</v>
      </c>
      <c r="S559" s="3">
        <v>85831.9</v>
      </c>
      <c r="T559" s="3">
        <v>600823.29</v>
      </c>
      <c r="U559" t="str">
        <f t="shared" si="8"/>
        <v>Not achive</v>
      </c>
    </row>
    <row r="560" spans="1:21" x14ac:dyDescent="0.3">
      <c r="A560" s="2">
        <v>800290</v>
      </c>
      <c r="B560" s="10">
        <v>45702</v>
      </c>
      <c r="C560" s="2" t="s">
        <v>38</v>
      </c>
      <c r="D560" s="2" t="s">
        <v>39</v>
      </c>
      <c r="E560" s="2" t="s">
        <v>126</v>
      </c>
      <c r="F560" s="2" t="s">
        <v>23</v>
      </c>
      <c r="G560" s="2" t="s">
        <v>94</v>
      </c>
      <c r="H560" s="2" t="s">
        <v>25</v>
      </c>
      <c r="I560" s="2" t="s">
        <v>67</v>
      </c>
      <c r="J560" s="2" t="s">
        <v>85</v>
      </c>
      <c r="K560" s="2" t="s">
        <v>91</v>
      </c>
      <c r="L560" s="2" t="s">
        <v>123</v>
      </c>
      <c r="M560" s="2">
        <v>2</v>
      </c>
      <c r="N560" s="3">
        <v>1500000</v>
      </c>
      <c r="O560" s="3">
        <v>1493976.61</v>
      </c>
      <c r="P560" s="4">
        <v>0</v>
      </c>
      <c r="Q560" s="2">
        <v>0</v>
      </c>
      <c r="R560" s="3">
        <v>2987953.22</v>
      </c>
      <c r="S560" s="3">
        <v>0</v>
      </c>
      <c r="T560" s="3">
        <v>2987953.22</v>
      </c>
      <c r="U560" t="str">
        <f t="shared" si="8"/>
        <v>Achive</v>
      </c>
    </row>
    <row r="561" spans="1:21" x14ac:dyDescent="0.3">
      <c r="A561" s="2">
        <v>800080</v>
      </c>
      <c r="B561" s="10">
        <v>45703</v>
      </c>
      <c r="C561" s="2" t="s">
        <v>51</v>
      </c>
      <c r="D561" s="2" t="s">
        <v>110</v>
      </c>
      <c r="E561" s="2" t="s">
        <v>124</v>
      </c>
      <c r="F561" s="2" t="s">
        <v>65</v>
      </c>
      <c r="G561" s="2" t="s">
        <v>54</v>
      </c>
      <c r="H561" s="2" t="s">
        <v>25</v>
      </c>
      <c r="I561" s="2" t="s">
        <v>26</v>
      </c>
      <c r="J561" s="2" t="s">
        <v>120</v>
      </c>
      <c r="K561" s="2" t="s">
        <v>77</v>
      </c>
      <c r="L561" s="2" t="s">
        <v>50</v>
      </c>
      <c r="M561" s="2">
        <v>2</v>
      </c>
      <c r="N561" s="3">
        <v>1900000</v>
      </c>
      <c r="O561" s="3">
        <v>1923972.43</v>
      </c>
      <c r="P561" s="4">
        <v>10</v>
      </c>
      <c r="Q561" s="2">
        <v>0</v>
      </c>
      <c r="R561" s="3">
        <v>3847944.86</v>
      </c>
      <c r="S561" s="3">
        <v>384794.49</v>
      </c>
      <c r="T561" s="3">
        <v>3463150.37</v>
      </c>
      <c r="U561" t="str">
        <f t="shared" si="8"/>
        <v>Achive</v>
      </c>
    </row>
    <row r="562" spans="1:21" x14ac:dyDescent="0.3">
      <c r="A562" s="2">
        <v>800342</v>
      </c>
      <c r="B562" s="10">
        <v>45703</v>
      </c>
      <c r="C562" s="2" t="s">
        <v>69</v>
      </c>
      <c r="D562" s="2" t="s">
        <v>95</v>
      </c>
      <c r="E562" s="2" t="s">
        <v>96</v>
      </c>
      <c r="F562" s="2" t="s">
        <v>65</v>
      </c>
      <c r="G562" s="2" t="s">
        <v>116</v>
      </c>
      <c r="H562" s="2" t="s">
        <v>25</v>
      </c>
      <c r="I562" s="2" t="s">
        <v>26</v>
      </c>
      <c r="J562" s="2" t="s">
        <v>105</v>
      </c>
      <c r="K562" s="2" t="s">
        <v>89</v>
      </c>
      <c r="L562" s="2" t="s">
        <v>73</v>
      </c>
      <c r="M562" s="2">
        <v>1</v>
      </c>
      <c r="N562" s="3">
        <v>950000</v>
      </c>
      <c r="O562" s="3">
        <v>928800.91</v>
      </c>
      <c r="P562" s="4">
        <v>7.5</v>
      </c>
      <c r="Q562" s="2">
        <v>0</v>
      </c>
      <c r="R562" s="3">
        <v>928800.91</v>
      </c>
      <c r="S562" s="3">
        <v>69660.070000000007</v>
      </c>
      <c r="T562" s="3">
        <v>859140.84</v>
      </c>
      <c r="U562" t="str">
        <f t="shared" si="8"/>
        <v>Not achive</v>
      </c>
    </row>
    <row r="563" spans="1:21" x14ac:dyDescent="0.3">
      <c r="A563" s="2">
        <v>800591</v>
      </c>
      <c r="B563" s="10">
        <v>45703</v>
      </c>
      <c r="C563" s="2" t="s">
        <v>69</v>
      </c>
      <c r="D563" s="2" t="s">
        <v>83</v>
      </c>
      <c r="E563" s="2" t="s">
        <v>84</v>
      </c>
      <c r="F563" s="2" t="s">
        <v>46</v>
      </c>
      <c r="G563" s="2" t="s">
        <v>42</v>
      </c>
      <c r="H563" s="2" t="s">
        <v>25</v>
      </c>
      <c r="I563" s="2" t="s">
        <v>43</v>
      </c>
      <c r="J563" s="2" t="s">
        <v>44</v>
      </c>
      <c r="K563" s="2" t="s">
        <v>129</v>
      </c>
      <c r="L563" s="2" t="s">
        <v>78</v>
      </c>
      <c r="M563" s="2">
        <v>6</v>
      </c>
      <c r="N563" s="3">
        <v>800000</v>
      </c>
      <c r="O563" s="3">
        <v>797308.77</v>
      </c>
      <c r="P563" s="4">
        <v>10</v>
      </c>
      <c r="Q563" s="2">
        <v>0</v>
      </c>
      <c r="R563" s="3">
        <v>4783852.62</v>
      </c>
      <c r="S563" s="3">
        <v>478385.26</v>
      </c>
      <c r="T563" s="3">
        <v>4305467.3600000003</v>
      </c>
      <c r="U563" t="str">
        <f t="shared" si="8"/>
        <v>Achive</v>
      </c>
    </row>
    <row r="564" spans="1:21" x14ac:dyDescent="0.3">
      <c r="A564" s="2">
        <v>800115</v>
      </c>
      <c r="B564" s="10">
        <v>45704</v>
      </c>
      <c r="C564" s="2" t="s">
        <v>38</v>
      </c>
      <c r="D564" s="2" t="s">
        <v>79</v>
      </c>
      <c r="E564" s="2" t="s">
        <v>133</v>
      </c>
      <c r="F564" s="2" t="s">
        <v>41</v>
      </c>
      <c r="G564" s="2" t="s">
        <v>100</v>
      </c>
      <c r="H564" s="2" t="s">
        <v>25</v>
      </c>
      <c r="I564" s="2" t="s">
        <v>67</v>
      </c>
      <c r="J564" s="2" t="s">
        <v>68</v>
      </c>
      <c r="K564" s="2" t="s">
        <v>49</v>
      </c>
      <c r="L564" s="2" t="s">
        <v>73</v>
      </c>
      <c r="M564" s="2">
        <v>3</v>
      </c>
      <c r="N564" s="3">
        <v>1200000</v>
      </c>
      <c r="O564" s="3">
        <v>1173172.19</v>
      </c>
      <c r="P564" s="4">
        <v>0</v>
      </c>
      <c r="Q564" s="2">
        <v>0</v>
      </c>
      <c r="R564" s="3">
        <v>3519516.57</v>
      </c>
      <c r="S564" s="3">
        <v>0</v>
      </c>
      <c r="T564" s="3">
        <v>3519516.57</v>
      </c>
      <c r="U564" t="str">
        <f t="shared" si="8"/>
        <v>Achive</v>
      </c>
    </row>
    <row r="565" spans="1:21" x14ac:dyDescent="0.3">
      <c r="A565" s="2">
        <v>800590</v>
      </c>
      <c r="B565" s="10">
        <v>45704</v>
      </c>
      <c r="C565" s="2" t="s">
        <v>38</v>
      </c>
      <c r="D565" s="2" t="s">
        <v>63</v>
      </c>
      <c r="E565" s="2" t="s">
        <v>64</v>
      </c>
      <c r="F565" s="2" t="s">
        <v>46</v>
      </c>
      <c r="G565" s="2" t="s">
        <v>72</v>
      </c>
      <c r="H565" s="2" t="s">
        <v>25</v>
      </c>
      <c r="I565" s="2" t="s">
        <v>67</v>
      </c>
      <c r="J565" s="2" t="s">
        <v>85</v>
      </c>
      <c r="K565" s="2" t="s">
        <v>86</v>
      </c>
      <c r="L565" s="2" t="s">
        <v>92</v>
      </c>
      <c r="M565" s="2">
        <v>3</v>
      </c>
      <c r="N565" s="3">
        <v>1500000</v>
      </c>
      <c r="O565" s="3">
        <v>1488992.15</v>
      </c>
      <c r="P565" s="4">
        <v>0</v>
      </c>
      <c r="Q565" s="2">
        <v>0</v>
      </c>
      <c r="R565" s="3">
        <v>4466976.45</v>
      </c>
      <c r="S565" s="3">
        <v>0</v>
      </c>
      <c r="T565" s="3">
        <v>4466976.45</v>
      </c>
      <c r="U565" t="str">
        <f t="shared" si="8"/>
        <v>Achive</v>
      </c>
    </row>
    <row r="566" spans="1:21" x14ac:dyDescent="0.3">
      <c r="A566" s="2">
        <v>800359</v>
      </c>
      <c r="B566" s="10">
        <v>45706</v>
      </c>
      <c r="C566" s="2" t="s">
        <v>38</v>
      </c>
      <c r="D566" s="2" t="s">
        <v>79</v>
      </c>
      <c r="E566" s="2" t="s">
        <v>138</v>
      </c>
      <c r="F566" s="2" t="s">
        <v>46</v>
      </c>
      <c r="G566" s="2" t="s">
        <v>47</v>
      </c>
      <c r="H566" s="2" t="s">
        <v>25</v>
      </c>
      <c r="I566" s="2" t="s">
        <v>26</v>
      </c>
      <c r="J566" s="2" t="s">
        <v>120</v>
      </c>
      <c r="K566" s="2" t="s">
        <v>121</v>
      </c>
      <c r="L566" s="2" t="s">
        <v>50</v>
      </c>
      <c r="M566" s="2">
        <v>3</v>
      </c>
      <c r="N566" s="3">
        <v>1900000</v>
      </c>
      <c r="O566" s="3">
        <v>1850163</v>
      </c>
      <c r="P566" s="4">
        <v>0</v>
      </c>
      <c r="Q566" s="2">
        <v>0</v>
      </c>
      <c r="R566" s="3">
        <v>5550489</v>
      </c>
      <c r="S566" s="3">
        <v>0</v>
      </c>
      <c r="T566" s="3">
        <v>5550489</v>
      </c>
      <c r="U566" t="str">
        <f t="shared" si="8"/>
        <v>Achive</v>
      </c>
    </row>
    <row r="567" spans="1:21" x14ac:dyDescent="0.3">
      <c r="A567" s="2">
        <v>800530</v>
      </c>
      <c r="B567" s="10">
        <v>45706</v>
      </c>
      <c r="C567" s="2" t="s">
        <v>20</v>
      </c>
      <c r="D567" s="2" t="s">
        <v>21</v>
      </c>
      <c r="E567" s="2" t="s">
        <v>22</v>
      </c>
      <c r="F567" s="2" t="s">
        <v>46</v>
      </c>
      <c r="G567" s="2" t="s">
        <v>90</v>
      </c>
      <c r="H567" s="2" t="s">
        <v>25</v>
      </c>
      <c r="I567" s="2" t="s">
        <v>43</v>
      </c>
      <c r="J567" s="2" t="s">
        <v>101</v>
      </c>
      <c r="K567" s="2" t="s">
        <v>102</v>
      </c>
      <c r="L567" s="2" t="s">
        <v>73</v>
      </c>
      <c r="M567" s="2">
        <v>4</v>
      </c>
      <c r="N567" s="3">
        <v>1000000</v>
      </c>
      <c r="O567" s="3">
        <v>988674.25</v>
      </c>
      <c r="P567" s="4">
        <v>12.5</v>
      </c>
      <c r="Q567" s="2">
        <v>0</v>
      </c>
      <c r="R567" s="3">
        <v>3954697</v>
      </c>
      <c r="S567" s="3">
        <v>494337.12</v>
      </c>
      <c r="T567" s="3">
        <v>3460359.88</v>
      </c>
      <c r="U567" t="str">
        <f t="shared" si="8"/>
        <v>Achive</v>
      </c>
    </row>
    <row r="568" spans="1:21" x14ac:dyDescent="0.3">
      <c r="A568" s="2">
        <v>800601</v>
      </c>
      <c r="B568" s="10">
        <v>45706</v>
      </c>
      <c r="C568" s="2" t="s">
        <v>51</v>
      </c>
      <c r="D568" s="2" t="s">
        <v>110</v>
      </c>
      <c r="E568" s="2" t="s">
        <v>124</v>
      </c>
      <c r="F568" s="2" t="s">
        <v>65</v>
      </c>
      <c r="G568" s="2" t="s">
        <v>61</v>
      </c>
      <c r="H568" s="2" t="s">
        <v>25</v>
      </c>
      <c r="I568" s="2" t="s">
        <v>43</v>
      </c>
      <c r="J568" s="2" t="s">
        <v>101</v>
      </c>
      <c r="K568" s="2" t="s">
        <v>45</v>
      </c>
      <c r="L568" s="2" t="s">
        <v>78</v>
      </c>
      <c r="M568" s="2">
        <v>2</v>
      </c>
      <c r="N568" s="3">
        <v>1000000</v>
      </c>
      <c r="O568" s="3">
        <v>1012970.84</v>
      </c>
      <c r="P568" s="4">
        <v>0</v>
      </c>
      <c r="Q568" s="2">
        <v>0</v>
      </c>
      <c r="R568" s="3">
        <v>2025941.68</v>
      </c>
      <c r="S568" s="3">
        <v>0</v>
      </c>
      <c r="T568" s="3">
        <v>2025941.68</v>
      </c>
      <c r="U568" t="str">
        <f t="shared" si="8"/>
        <v>Achive</v>
      </c>
    </row>
    <row r="569" spans="1:21" x14ac:dyDescent="0.3">
      <c r="A569" s="2">
        <v>800081</v>
      </c>
      <c r="B569" s="10">
        <v>45707</v>
      </c>
      <c r="C569" s="2" t="s">
        <v>20</v>
      </c>
      <c r="D569" s="2" t="s">
        <v>30</v>
      </c>
      <c r="E569" s="2" t="s">
        <v>31</v>
      </c>
      <c r="F569" s="2" t="s">
        <v>32</v>
      </c>
      <c r="G569" s="2" t="s">
        <v>61</v>
      </c>
      <c r="H569" s="2" t="s">
        <v>25</v>
      </c>
      <c r="I569" s="2" t="s">
        <v>26</v>
      </c>
      <c r="J569" s="2" t="s">
        <v>76</v>
      </c>
      <c r="K569" s="2" t="s">
        <v>115</v>
      </c>
      <c r="L569" s="2" t="s">
        <v>78</v>
      </c>
      <c r="M569" s="2">
        <v>1</v>
      </c>
      <c r="N569" s="3">
        <v>700000</v>
      </c>
      <c r="O569" s="3">
        <v>705136.82</v>
      </c>
      <c r="P569" s="4">
        <v>10</v>
      </c>
      <c r="Q569" s="2">
        <v>0</v>
      </c>
      <c r="R569" s="3">
        <v>705136.82</v>
      </c>
      <c r="S569" s="3">
        <v>70513.679999999993</v>
      </c>
      <c r="T569" s="3">
        <v>634623.14</v>
      </c>
      <c r="U569" t="str">
        <f t="shared" si="8"/>
        <v>Not achive</v>
      </c>
    </row>
    <row r="570" spans="1:21" x14ac:dyDescent="0.3">
      <c r="A570" s="2">
        <v>800378</v>
      </c>
      <c r="B570" s="10">
        <v>45708</v>
      </c>
      <c r="C570" s="2" t="s">
        <v>69</v>
      </c>
      <c r="D570" s="2" t="s">
        <v>95</v>
      </c>
      <c r="E570" s="2" t="s">
        <v>131</v>
      </c>
      <c r="F570" s="2" t="s">
        <v>32</v>
      </c>
      <c r="G570" s="2" t="s">
        <v>72</v>
      </c>
      <c r="H570" s="2" t="s">
        <v>25</v>
      </c>
      <c r="I570" s="2" t="s">
        <v>34</v>
      </c>
      <c r="J570" s="2" t="s">
        <v>35</v>
      </c>
      <c r="K570" s="2" t="s">
        <v>36</v>
      </c>
      <c r="L570" s="2" t="s">
        <v>59</v>
      </c>
      <c r="M570" s="2">
        <v>5</v>
      </c>
      <c r="N570" s="3">
        <v>550000</v>
      </c>
      <c r="O570" s="3">
        <v>552669.07999999996</v>
      </c>
      <c r="P570" s="4">
        <v>0</v>
      </c>
      <c r="Q570" s="2">
        <v>0</v>
      </c>
      <c r="R570" s="3">
        <v>2763345.4</v>
      </c>
      <c r="S570" s="3">
        <v>0</v>
      </c>
      <c r="T570" s="3">
        <v>2763345.4</v>
      </c>
      <c r="U570" t="str">
        <f t="shared" si="8"/>
        <v>Achive</v>
      </c>
    </row>
    <row r="571" spans="1:21" x14ac:dyDescent="0.3">
      <c r="A571" s="2">
        <v>800587</v>
      </c>
      <c r="B571" s="10">
        <v>45708</v>
      </c>
      <c r="C571" s="2" t="s">
        <v>69</v>
      </c>
      <c r="D571" s="2" t="s">
        <v>70</v>
      </c>
      <c r="E571" s="2" t="s">
        <v>93</v>
      </c>
      <c r="F571" s="2" t="s">
        <v>32</v>
      </c>
      <c r="G571" s="2" t="s">
        <v>42</v>
      </c>
      <c r="H571" s="2" t="s">
        <v>25</v>
      </c>
      <c r="I571" s="2" t="s">
        <v>26</v>
      </c>
      <c r="J571" s="2" t="s">
        <v>105</v>
      </c>
      <c r="K571" s="2" t="s">
        <v>49</v>
      </c>
      <c r="L571" s="2" t="s">
        <v>92</v>
      </c>
      <c r="M571" s="2">
        <v>2</v>
      </c>
      <c r="N571" s="3">
        <v>950000</v>
      </c>
      <c r="O571" s="3">
        <v>938758.38</v>
      </c>
      <c r="P571" s="4">
        <v>10</v>
      </c>
      <c r="Q571" s="2">
        <v>0</v>
      </c>
      <c r="R571" s="3">
        <v>1877516.76</v>
      </c>
      <c r="S571" s="3">
        <v>187751.67999999999</v>
      </c>
      <c r="T571" s="3">
        <v>1689765.08</v>
      </c>
      <c r="U571" t="str">
        <f t="shared" si="8"/>
        <v>Not achive</v>
      </c>
    </row>
    <row r="572" spans="1:21" x14ac:dyDescent="0.3">
      <c r="A572" s="2">
        <v>800090</v>
      </c>
      <c r="B572" s="10">
        <v>45709</v>
      </c>
      <c r="C572" s="2" t="s">
        <v>20</v>
      </c>
      <c r="D572" s="2" t="s">
        <v>30</v>
      </c>
      <c r="E572" s="2" t="s">
        <v>88</v>
      </c>
      <c r="F572" s="2" t="s">
        <v>41</v>
      </c>
      <c r="G572" s="2" t="s">
        <v>72</v>
      </c>
      <c r="H572" s="2" t="s">
        <v>25</v>
      </c>
      <c r="I572" s="2" t="s">
        <v>26</v>
      </c>
      <c r="J572" s="2" t="s">
        <v>127</v>
      </c>
      <c r="K572" s="2" t="s">
        <v>130</v>
      </c>
      <c r="L572" s="2" t="s">
        <v>59</v>
      </c>
      <c r="M572" s="2">
        <v>1</v>
      </c>
      <c r="N572" s="3">
        <v>650000</v>
      </c>
      <c r="O572" s="3">
        <v>645280.55000000005</v>
      </c>
      <c r="P572" s="4">
        <v>5</v>
      </c>
      <c r="Q572" s="2">
        <v>0</v>
      </c>
      <c r="R572" s="3">
        <v>645280.55000000005</v>
      </c>
      <c r="S572" s="3">
        <v>32264.03</v>
      </c>
      <c r="T572" s="3">
        <v>613016.52</v>
      </c>
      <c r="U572" t="str">
        <f t="shared" si="8"/>
        <v>Not achive</v>
      </c>
    </row>
    <row r="573" spans="1:21" x14ac:dyDescent="0.3">
      <c r="A573" s="2">
        <v>800413</v>
      </c>
      <c r="B573" s="10">
        <v>45709</v>
      </c>
      <c r="C573" s="2" t="s">
        <v>69</v>
      </c>
      <c r="D573" s="2" t="s">
        <v>70</v>
      </c>
      <c r="E573" s="2" t="s">
        <v>93</v>
      </c>
      <c r="F573" s="2" t="s">
        <v>65</v>
      </c>
      <c r="G573" s="2" t="s">
        <v>24</v>
      </c>
      <c r="H573" s="2" t="s">
        <v>25</v>
      </c>
      <c r="I573" s="2" t="s">
        <v>26</v>
      </c>
      <c r="J573" s="2" t="s">
        <v>57</v>
      </c>
      <c r="K573" s="2" t="s">
        <v>99</v>
      </c>
      <c r="L573" s="2" t="s">
        <v>29</v>
      </c>
      <c r="M573" s="2">
        <v>3</v>
      </c>
      <c r="N573" s="3">
        <v>800000</v>
      </c>
      <c r="O573" s="3">
        <v>813496.84</v>
      </c>
      <c r="P573" s="4">
        <v>0</v>
      </c>
      <c r="Q573" s="2">
        <v>0</v>
      </c>
      <c r="R573" s="3">
        <v>2440490.52</v>
      </c>
      <c r="S573" s="3">
        <v>0</v>
      </c>
      <c r="T573" s="3">
        <v>2440490.52</v>
      </c>
      <c r="U573" t="str">
        <f t="shared" si="8"/>
        <v>Achive</v>
      </c>
    </row>
    <row r="574" spans="1:21" x14ac:dyDescent="0.3">
      <c r="A574" s="2">
        <v>800503</v>
      </c>
      <c r="B574" s="10">
        <v>45709</v>
      </c>
      <c r="C574" s="2" t="s">
        <v>20</v>
      </c>
      <c r="D574" s="2" t="s">
        <v>21</v>
      </c>
      <c r="E574" s="2" t="s">
        <v>22</v>
      </c>
      <c r="F574" s="2" t="s">
        <v>23</v>
      </c>
      <c r="G574" s="2" t="s">
        <v>72</v>
      </c>
      <c r="H574" s="2" t="s">
        <v>25</v>
      </c>
      <c r="I574" s="2" t="s">
        <v>26</v>
      </c>
      <c r="J574" s="2" t="s">
        <v>81</v>
      </c>
      <c r="K574" s="2" t="s">
        <v>77</v>
      </c>
      <c r="L574" s="2" t="s">
        <v>59</v>
      </c>
      <c r="M574" s="2">
        <v>3</v>
      </c>
      <c r="N574" s="3">
        <v>1700000</v>
      </c>
      <c r="O574" s="3">
        <v>1730249.01</v>
      </c>
      <c r="P574" s="4">
        <v>0</v>
      </c>
      <c r="Q574" s="2">
        <v>0</v>
      </c>
      <c r="R574" s="3">
        <v>5190747.03</v>
      </c>
      <c r="S574" s="3">
        <v>0</v>
      </c>
      <c r="T574" s="3">
        <v>5190747.03</v>
      </c>
      <c r="U574" t="str">
        <f t="shared" si="8"/>
        <v>Achive</v>
      </c>
    </row>
    <row r="575" spans="1:21" x14ac:dyDescent="0.3">
      <c r="A575" s="2">
        <v>800506</v>
      </c>
      <c r="B575" s="10">
        <v>45709</v>
      </c>
      <c r="C575" s="2" t="s">
        <v>20</v>
      </c>
      <c r="D575" s="2" t="s">
        <v>74</v>
      </c>
      <c r="E575" s="2" t="s">
        <v>75</v>
      </c>
      <c r="F575" s="2" t="s">
        <v>65</v>
      </c>
      <c r="G575" s="2" t="s">
        <v>47</v>
      </c>
      <c r="H575" s="2" t="s">
        <v>25</v>
      </c>
      <c r="I575" s="2" t="s">
        <v>26</v>
      </c>
      <c r="J575" s="2" t="s">
        <v>76</v>
      </c>
      <c r="K575" s="2" t="s">
        <v>77</v>
      </c>
      <c r="L575" s="2" t="s">
        <v>29</v>
      </c>
      <c r="M575" s="2">
        <v>3</v>
      </c>
      <c r="N575" s="3">
        <v>700000</v>
      </c>
      <c r="O575" s="3">
        <v>682217.94</v>
      </c>
      <c r="P575" s="4">
        <v>2</v>
      </c>
      <c r="Q575" s="2">
        <v>0</v>
      </c>
      <c r="R575" s="3">
        <v>2046653.82</v>
      </c>
      <c r="S575" s="3">
        <v>40933.08</v>
      </c>
      <c r="T575" s="3">
        <v>2005720.74</v>
      </c>
      <c r="U575" t="str">
        <f t="shared" si="8"/>
        <v>Achive</v>
      </c>
    </row>
    <row r="576" spans="1:21" x14ac:dyDescent="0.3">
      <c r="A576" s="2">
        <v>800006</v>
      </c>
      <c r="B576" s="10">
        <v>45710</v>
      </c>
      <c r="C576" s="2" t="s">
        <v>69</v>
      </c>
      <c r="D576" s="2" t="s">
        <v>83</v>
      </c>
      <c r="E576" s="2" t="s">
        <v>84</v>
      </c>
      <c r="F576" s="2" t="s">
        <v>41</v>
      </c>
      <c r="G576" s="2" t="s">
        <v>54</v>
      </c>
      <c r="H576" s="2" t="s">
        <v>25</v>
      </c>
      <c r="I576" s="2" t="s">
        <v>26</v>
      </c>
      <c r="J576" s="2" t="s">
        <v>81</v>
      </c>
      <c r="K576" s="2" t="s">
        <v>49</v>
      </c>
      <c r="L576" s="2" t="s">
        <v>59</v>
      </c>
      <c r="M576" s="2">
        <v>3</v>
      </c>
      <c r="N576" s="3">
        <v>1700000</v>
      </c>
      <c r="O576" s="3">
        <v>1669808.93</v>
      </c>
      <c r="P576" s="4">
        <v>12.5</v>
      </c>
      <c r="Q576" s="2">
        <v>0</v>
      </c>
      <c r="R576" s="3">
        <v>5009426.79</v>
      </c>
      <c r="S576" s="3">
        <v>626178.35</v>
      </c>
      <c r="T576" s="3">
        <v>4383248.4400000004</v>
      </c>
      <c r="U576" t="str">
        <f t="shared" si="8"/>
        <v>Achive</v>
      </c>
    </row>
    <row r="577" spans="1:21" x14ac:dyDescent="0.3">
      <c r="A577" s="2">
        <v>800176</v>
      </c>
      <c r="B577" s="10">
        <v>45710</v>
      </c>
      <c r="C577" s="2" t="s">
        <v>69</v>
      </c>
      <c r="D577" s="2" t="s">
        <v>95</v>
      </c>
      <c r="E577" s="2" t="s">
        <v>96</v>
      </c>
      <c r="F577" s="2" t="s">
        <v>41</v>
      </c>
      <c r="G577" s="2" t="s">
        <v>66</v>
      </c>
      <c r="H577" s="2" t="s">
        <v>25</v>
      </c>
      <c r="I577" s="2" t="s">
        <v>67</v>
      </c>
      <c r="J577" s="2" t="s">
        <v>68</v>
      </c>
      <c r="K577" s="2" t="s">
        <v>49</v>
      </c>
      <c r="L577" s="2" t="s">
        <v>87</v>
      </c>
      <c r="M577" s="2">
        <v>3</v>
      </c>
      <c r="N577" s="3">
        <v>1200000</v>
      </c>
      <c r="O577" s="3">
        <v>1194151.23</v>
      </c>
      <c r="P577" s="4">
        <v>5</v>
      </c>
      <c r="Q577" s="2">
        <v>0</v>
      </c>
      <c r="R577" s="3">
        <v>3582453.69</v>
      </c>
      <c r="S577" s="3">
        <v>179122.68</v>
      </c>
      <c r="T577" s="3">
        <v>3403331.01</v>
      </c>
      <c r="U577" t="str">
        <f t="shared" si="8"/>
        <v>Achive</v>
      </c>
    </row>
    <row r="578" spans="1:21" x14ac:dyDescent="0.3">
      <c r="A578" s="2">
        <v>800555</v>
      </c>
      <c r="B578" s="10">
        <v>45710</v>
      </c>
      <c r="C578" s="2" t="s">
        <v>51</v>
      </c>
      <c r="D578" s="2" t="s">
        <v>52</v>
      </c>
      <c r="E578" s="2" t="s">
        <v>53</v>
      </c>
      <c r="F578" s="2" t="s">
        <v>65</v>
      </c>
      <c r="G578" s="2" t="s">
        <v>66</v>
      </c>
      <c r="H578" s="2" t="s">
        <v>25</v>
      </c>
      <c r="I578" s="2" t="s">
        <v>43</v>
      </c>
      <c r="J578" s="2" t="s">
        <v>44</v>
      </c>
      <c r="K578" s="2" t="s">
        <v>129</v>
      </c>
      <c r="L578" s="2" t="s">
        <v>50</v>
      </c>
      <c r="M578" s="2">
        <v>5</v>
      </c>
      <c r="N578" s="3">
        <v>800000</v>
      </c>
      <c r="O578" s="3">
        <v>806244.56</v>
      </c>
      <c r="P578" s="4">
        <v>0</v>
      </c>
      <c r="Q578" s="2">
        <v>1</v>
      </c>
      <c r="R578" s="3">
        <v>4031222.8</v>
      </c>
      <c r="S578" s="3">
        <v>0</v>
      </c>
      <c r="T578" s="3">
        <v>4031222.8</v>
      </c>
      <c r="U578" t="str">
        <f t="shared" ref="U578:U641" si="9">IF(T578&gt;2000000,"Achive","Not achive")</f>
        <v>Achive</v>
      </c>
    </row>
    <row r="579" spans="1:21" x14ac:dyDescent="0.3">
      <c r="A579" s="2">
        <v>800557</v>
      </c>
      <c r="B579" s="10">
        <v>45710</v>
      </c>
      <c r="C579" s="2" t="s">
        <v>51</v>
      </c>
      <c r="D579" s="2" t="s">
        <v>55</v>
      </c>
      <c r="E579" s="2" t="s">
        <v>137</v>
      </c>
      <c r="F579" s="2" t="s">
        <v>23</v>
      </c>
      <c r="G579" s="2" t="s">
        <v>94</v>
      </c>
      <c r="H579" s="2" t="s">
        <v>25</v>
      </c>
      <c r="I579" s="2" t="s">
        <v>26</v>
      </c>
      <c r="J579" s="2" t="s">
        <v>120</v>
      </c>
      <c r="K579" s="2" t="s">
        <v>77</v>
      </c>
      <c r="L579" s="2" t="s">
        <v>122</v>
      </c>
      <c r="M579" s="2">
        <v>1</v>
      </c>
      <c r="N579" s="3">
        <v>1900000</v>
      </c>
      <c r="O579" s="3">
        <v>1918165.86</v>
      </c>
      <c r="P579" s="4">
        <v>0</v>
      </c>
      <c r="Q579" s="2">
        <v>0</v>
      </c>
      <c r="R579" s="3">
        <v>1918165.86</v>
      </c>
      <c r="S579" s="3">
        <v>0</v>
      </c>
      <c r="T579" s="3">
        <v>1918165.86</v>
      </c>
      <c r="U579" t="str">
        <f t="shared" si="9"/>
        <v>Not achive</v>
      </c>
    </row>
    <row r="580" spans="1:21" x14ac:dyDescent="0.3">
      <c r="A580" s="2">
        <v>800150</v>
      </c>
      <c r="B580" s="10">
        <v>45711</v>
      </c>
      <c r="C580" s="2" t="s">
        <v>69</v>
      </c>
      <c r="D580" s="2" t="s">
        <v>95</v>
      </c>
      <c r="E580" s="2" t="s">
        <v>96</v>
      </c>
      <c r="F580" s="2" t="s">
        <v>32</v>
      </c>
      <c r="G580" s="2" t="s">
        <v>33</v>
      </c>
      <c r="H580" s="2" t="s">
        <v>25</v>
      </c>
      <c r="I580" s="2" t="s">
        <v>43</v>
      </c>
      <c r="J580" s="2" t="s">
        <v>101</v>
      </c>
      <c r="K580" s="2" t="s">
        <v>102</v>
      </c>
      <c r="L580" s="2" t="s">
        <v>92</v>
      </c>
      <c r="M580" s="2">
        <v>1</v>
      </c>
      <c r="N580" s="3">
        <v>1000000</v>
      </c>
      <c r="O580" s="3">
        <v>1011261.81</v>
      </c>
      <c r="P580" s="4">
        <v>0</v>
      </c>
      <c r="Q580" s="2">
        <v>0</v>
      </c>
      <c r="R580" s="3">
        <v>1011261.81</v>
      </c>
      <c r="S580" s="3">
        <v>0</v>
      </c>
      <c r="T580" s="3">
        <v>1011261.81</v>
      </c>
      <c r="U580" t="str">
        <f t="shared" si="9"/>
        <v>Not achive</v>
      </c>
    </row>
    <row r="581" spans="1:21" x14ac:dyDescent="0.3">
      <c r="A581" s="2">
        <v>800576</v>
      </c>
      <c r="B581" s="10">
        <v>45712</v>
      </c>
      <c r="C581" s="2" t="s">
        <v>38</v>
      </c>
      <c r="D581" s="2" t="s">
        <v>79</v>
      </c>
      <c r="E581" s="2" t="s">
        <v>138</v>
      </c>
      <c r="F581" s="2" t="s">
        <v>23</v>
      </c>
      <c r="G581" s="2" t="s">
        <v>61</v>
      </c>
      <c r="H581" s="2" t="s">
        <v>25</v>
      </c>
      <c r="I581" s="2" t="s">
        <v>26</v>
      </c>
      <c r="J581" s="2" t="s">
        <v>76</v>
      </c>
      <c r="K581" s="2" t="s">
        <v>117</v>
      </c>
      <c r="L581" s="2" t="s">
        <v>37</v>
      </c>
      <c r="M581" s="2">
        <v>2</v>
      </c>
      <c r="N581" s="3">
        <v>700000</v>
      </c>
      <c r="O581" s="3">
        <v>705768.6</v>
      </c>
      <c r="P581" s="4">
        <v>5</v>
      </c>
      <c r="Q581" s="2">
        <v>0</v>
      </c>
      <c r="R581" s="3">
        <v>1411537.2</v>
      </c>
      <c r="S581" s="3">
        <v>70576.86</v>
      </c>
      <c r="T581" s="3">
        <v>1340960.3400000001</v>
      </c>
      <c r="U581" t="str">
        <f t="shared" si="9"/>
        <v>Not achive</v>
      </c>
    </row>
    <row r="582" spans="1:21" x14ac:dyDescent="0.3">
      <c r="A582" s="2">
        <v>800454</v>
      </c>
      <c r="B582" s="10">
        <v>45713</v>
      </c>
      <c r="C582" s="2" t="s">
        <v>20</v>
      </c>
      <c r="D582" s="2" t="s">
        <v>74</v>
      </c>
      <c r="E582" s="2" t="s">
        <v>113</v>
      </c>
      <c r="F582" s="2" t="s">
        <v>23</v>
      </c>
      <c r="G582" s="2" t="s">
        <v>100</v>
      </c>
      <c r="H582" s="2" t="s">
        <v>25</v>
      </c>
      <c r="I582" s="2" t="s">
        <v>67</v>
      </c>
      <c r="J582" s="2" t="s">
        <v>85</v>
      </c>
      <c r="K582" s="2" t="s">
        <v>86</v>
      </c>
      <c r="L582" s="2" t="s">
        <v>92</v>
      </c>
      <c r="M582" s="2">
        <v>1</v>
      </c>
      <c r="N582" s="3">
        <v>1500000</v>
      </c>
      <c r="O582" s="3">
        <v>1506746.47</v>
      </c>
      <c r="P582" s="4">
        <v>0</v>
      </c>
      <c r="Q582" s="2">
        <v>0</v>
      </c>
      <c r="R582" s="3">
        <v>1506746.47</v>
      </c>
      <c r="S582" s="3">
        <v>0</v>
      </c>
      <c r="T582" s="3">
        <v>1506746.47</v>
      </c>
      <c r="U582" t="str">
        <f t="shared" si="9"/>
        <v>Not achive</v>
      </c>
    </row>
    <row r="583" spans="1:21" x14ac:dyDescent="0.3">
      <c r="A583" s="2">
        <v>800352</v>
      </c>
      <c r="B583" s="10">
        <v>45714</v>
      </c>
      <c r="C583" s="2" t="s">
        <v>51</v>
      </c>
      <c r="D583" s="2" t="s">
        <v>110</v>
      </c>
      <c r="E583" s="2" t="s">
        <v>134</v>
      </c>
      <c r="F583" s="2" t="s">
        <v>32</v>
      </c>
      <c r="G583" s="2" t="s">
        <v>90</v>
      </c>
      <c r="H583" s="2" t="s">
        <v>25</v>
      </c>
      <c r="I583" s="2" t="s">
        <v>26</v>
      </c>
      <c r="J583" s="2" t="s">
        <v>57</v>
      </c>
      <c r="K583" s="2" t="s">
        <v>99</v>
      </c>
      <c r="L583" s="2" t="s">
        <v>87</v>
      </c>
      <c r="M583" s="2">
        <v>3</v>
      </c>
      <c r="N583" s="3">
        <v>800000</v>
      </c>
      <c r="O583" s="3">
        <v>787799.14</v>
      </c>
      <c r="P583" s="4">
        <v>0</v>
      </c>
      <c r="Q583" s="2">
        <v>0</v>
      </c>
      <c r="R583" s="3">
        <v>2363397.42</v>
      </c>
      <c r="S583" s="3">
        <v>0</v>
      </c>
      <c r="T583" s="3">
        <v>2363397.42</v>
      </c>
      <c r="U583" t="str">
        <f t="shared" si="9"/>
        <v>Achive</v>
      </c>
    </row>
    <row r="584" spans="1:21" x14ac:dyDescent="0.3">
      <c r="A584" s="2">
        <v>800513</v>
      </c>
      <c r="B584" s="10">
        <v>45714</v>
      </c>
      <c r="C584" s="2" t="s">
        <v>20</v>
      </c>
      <c r="D584" s="2" t="s">
        <v>30</v>
      </c>
      <c r="E584" s="2" t="s">
        <v>88</v>
      </c>
      <c r="F584" s="2" t="s">
        <v>41</v>
      </c>
      <c r="G584" s="2" t="s">
        <v>54</v>
      </c>
      <c r="H584" s="2" t="s">
        <v>25</v>
      </c>
      <c r="I584" s="2" t="s">
        <v>67</v>
      </c>
      <c r="J584" s="2" t="s">
        <v>108</v>
      </c>
      <c r="K584" s="2" t="s">
        <v>62</v>
      </c>
      <c r="L584" s="2" t="s">
        <v>123</v>
      </c>
      <c r="M584" s="2">
        <v>3</v>
      </c>
      <c r="N584" s="3">
        <v>1800000</v>
      </c>
      <c r="O584" s="3">
        <v>1773254.53</v>
      </c>
      <c r="P584" s="4">
        <v>0</v>
      </c>
      <c r="Q584" s="2">
        <v>0</v>
      </c>
      <c r="R584" s="3">
        <v>5319763.59</v>
      </c>
      <c r="S584" s="3">
        <v>0</v>
      </c>
      <c r="T584" s="3">
        <v>5319763.59</v>
      </c>
      <c r="U584" t="str">
        <f t="shared" si="9"/>
        <v>Achive</v>
      </c>
    </row>
    <row r="585" spans="1:21" x14ac:dyDescent="0.3">
      <c r="A585" s="2">
        <v>800584</v>
      </c>
      <c r="B585" s="10">
        <v>45714</v>
      </c>
      <c r="C585" s="2" t="s">
        <v>38</v>
      </c>
      <c r="D585" s="2" t="s">
        <v>39</v>
      </c>
      <c r="E585" s="2" t="s">
        <v>40</v>
      </c>
      <c r="F585" s="2" t="s">
        <v>23</v>
      </c>
      <c r="G585" s="2" t="s">
        <v>61</v>
      </c>
      <c r="H585" s="2" t="s">
        <v>25</v>
      </c>
      <c r="I585" s="2" t="s">
        <v>67</v>
      </c>
      <c r="J585" s="2" t="s">
        <v>85</v>
      </c>
      <c r="K585" s="2" t="s">
        <v>86</v>
      </c>
      <c r="L585" s="2" t="s">
        <v>123</v>
      </c>
      <c r="M585" s="2">
        <v>2</v>
      </c>
      <c r="N585" s="3">
        <v>1500000</v>
      </c>
      <c r="O585" s="3">
        <v>1481345.19</v>
      </c>
      <c r="P585" s="4">
        <v>2</v>
      </c>
      <c r="Q585" s="2">
        <v>0</v>
      </c>
      <c r="R585" s="3">
        <v>2962690.38</v>
      </c>
      <c r="S585" s="3">
        <v>59253.81</v>
      </c>
      <c r="T585" s="3">
        <v>2903436.57</v>
      </c>
      <c r="U585" t="str">
        <f t="shared" si="9"/>
        <v>Achive</v>
      </c>
    </row>
    <row r="586" spans="1:21" x14ac:dyDescent="0.3">
      <c r="A586" s="2">
        <v>800606</v>
      </c>
      <c r="B586" s="10">
        <v>45714</v>
      </c>
      <c r="C586" s="2" t="s">
        <v>51</v>
      </c>
      <c r="D586" s="2" t="s">
        <v>110</v>
      </c>
      <c r="E586" s="2" t="s">
        <v>124</v>
      </c>
      <c r="F586" s="2" t="s">
        <v>46</v>
      </c>
      <c r="G586" s="2" t="s">
        <v>72</v>
      </c>
      <c r="H586" s="2" t="s">
        <v>25</v>
      </c>
      <c r="I586" s="2" t="s">
        <v>43</v>
      </c>
      <c r="J586" s="2" t="s">
        <v>101</v>
      </c>
      <c r="K586" s="2" t="s">
        <v>102</v>
      </c>
      <c r="L586" s="2" t="s">
        <v>92</v>
      </c>
      <c r="M586" s="2">
        <v>2</v>
      </c>
      <c r="N586" s="3">
        <v>1000000</v>
      </c>
      <c r="O586" s="3">
        <v>971036.73</v>
      </c>
      <c r="P586" s="4">
        <v>0</v>
      </c>
      <c r="Q586" s="2">
        <v>0</v>
      </c>
      <c r="R586" s="3">
        <v>1942073.46</v>
      </c>
      <c r="S586" s="3">
        <v>0</v>
      </c>
      <c r="T586" s="3">
        <v>1942073.46</v>
      </c>
      <c r="U586" t="str">
        <f t="shared" si="9"/>
        <v>Not achive</v>
      </c>
    </row>
    <row r="587" spans="1:21" x14ac:dyDescent="0.3">
      <c r="A587" s="2">
        <v>800200</v>
      </c>
      <c r="B587" s="10">
        <v>45715</v>
      </c>
      <c r="C587" s="2" t="s">
        <v>20</v>
      </c>
      <c r="D587" s="2" t="s">
        <v>21</v>
      </c>
      <c r="E587" s="2" t="s">
        <v>22</v>
      </c>
      <c r="F587" s="2" t="s">
        <v>23</v>
      </c>
      <c r="G587" s="2" t="s">
        <v>66</v>
      </c>
      <c r="H587" s="2" t="s">
        <v>25</v>
      </c>
      <c r="I587" s="2" t="s">
        <v>67</v>
      </c>
      <c r="J587" s="2" t="s">
        <v>112</v>
      </c>
      <c r="K587" s="2" t="s">
        <v>58</v>
      </c>
      <c r="L587" s="2" t="s">
        <v>122</v>
      </c>
      <c r="M587" s="2">
        <v>2</v>
      </c>
      <c r="N587" s="3">
        <v>1250000</v>
      </c>
      <c r="O587" s="3">
        <v>1255252.6000000001</v>
      </c>
      <c r="P587" s="4">
        <v>0</v>
      </c>
      <c r="Q587" s="2">
        <v>0</v>
      </c>
      <c r="R587" s="3">
        <v>2510505.2000000002</v>
      </c>
      <c r="S587" s="3">
        <v>0</v>
      </c>
      <c r="T587" s="3">
        <v>2510505.2000000002</v>
      </c>
      <c r="U587" t="str">
        <f t="shared" si="9"/>
        <v>Achive</v>
      </c>
    </row>
    <row r="588" spans="1:21" x14ac:dyDescent="0.3">
      <c r="A588" s="2">
        <v>800322</v>
      </c>
      <c r="B588" s="10">
        <v>45715</v>
      </c>
      <c r="C588" s="2" t="s">
        <v>38</v>
      </c>
      <c r="D588" s="2" t="s">
        <v>118</v>
      </c>
      <c r="E588" s="2" t="s">
        <v>119</v>
      </c>
      <c r="F588" s="2" t="s">
        <v>41</v>
      </c>
      <c r="G588" s="2" t="s">
        <v>72</v>
      </c>
      <c r="H588" s="2" t="s">
        <v>25</v>
      </c>
      <c r="I588" s="2" t="s">
        <v>67</v>
      </c>
      <c r="J588" s="2" t="s">
        <v>85</v>
      </c>
      <c r="K588" s="2" t="s">
        <v>86</v>
      </c>
      <c r="L588" s="2" t="s">
        <v>78</v>
      </c>
      <c r="M588" s="2">
        <v>2</v>
      </c>
      <c r="N588" s="3">
        <v>1500000</v>
      </c>
      <c r="O588" s="3">
        <v>1506742.68</v>
      </c>
      <c r="P588" s="4">
        <v>12.5</v>
      </c>
      <c r="Q588" s="2">
        <v>0</v>
      </c>
      <c r="R588" s="3">
        <v>3013485.36</v>
      </c>
      <c r="S588" s="3">
        <v>376685.67</v>
      </c>
      <c r="T588" s="3">
        <v>2636799.69</v>
      </c>
      <c r="U588" t="str">
        <f t="shared" si="9"/>
        <v>Achive</v>
      </c>
    </row>
    <row r="589" spans="1:21" x14ac:dyDescent="0.3">
      <c r="A589" s="2">
        <v>800344</v>
      </c>
      <c r="B589" s="10">
        <v>45715</v>
      </c>
      <c r="C589" s="2" t="s">
        <v>20</v>
      </c>
      <c r="D589" s="2" t="s">
        <v>21</v>
      </c>
      <c r="E589" s="2" t="s">
        <v>22</v>
      </c>
      <c r="F589" s="2" t="s">
        <v>46</v>
      </c>
      <c r="G589" s="2" t="s">
        <v>90</v>
      </c>
      <c r="H589" s="2" t="s">
        <v>25</v>
      </c>
      <c r="I589" s="2" t="s">
        <v>26</v>
      </c>
      <c r="J589" s="2" t="s">
        <v>81</v>
      </c>
      <c r="K589" s="2" t="s">
        <v>77</v>
      </c>
      <c r="L589" s="2" t="s">
        <v>123</v>
      </c>
      <c r="M589" s="2">
        <v>2</v>
      </c>
      <c r="N589" s="3">
        <v>1700000</v>
      </c>
      <c r="O589" s="3">
        <v>1673953.82</v>
      </c>
      <c r="P589" s="4">
        <v>12.5</v>
      </c>
      <c r="Q589" s="2">
        <v>0</v>
      </c>
      <c r="R589" s="3">
        <v>3347907.64</v>
      </c>
      <c r="S589" s="3">
        <v>418488.46</v>
      </c>
      <c r="T589" s="3">
        <v>2929419.18</v>
      </c>
      <c r="U589" t="str">
        <f t="shared" si="9"/>
        <v>Achive</v>
      </c>
    </row>
    <row r="590" spans="1:21" x14ac:dyDescent="0.3">
      <c r="A590" s="2">
        <v>800518</v>
      </c>
      <c r="B590" s="10">
        <v>45715</v>
      </c>
      <c r="C590" s="2" t="s">
        <v>69</v>
      </c>
      <c r="D590" s="2" t="s">
        <v>83</v>
      </c>
      <c r="E590" s="2" t="s">
        <v>97</v>
      </c>
      <c r="F590" s="2" t="s">
        <v>41</v>
      </c>
      <c r="G590" s="2" t="s">
        <v>116</v>
      </c>
      <c r="H590" s="2" t="s">
        <v>25</v>
      </c>
      <c r="I590" s="2" t="s">
        <v>26</v>
      </c>
      <c r="J590" s="2" t="s">
        <v>120</v>
      </c>
      <c r="K590" s="2" t="s">
        <v>49</v>
      </c>
      <c r="L590" s="2" t="s">
        <v>37</v>
      </c>
      <c r="M590" s="2">
        <v>3</v>
      </c>
      <c r="N590" s="3">
        <v>1900000</v>
      </c>
      <c r="O590" s="3">
        <v>1844810.99</v>
      </c>
      <c r="P590" s="4">
        <v>0</v>
      </c>
      <c r="Q590" s="2">
        <v>0</v>
      </c>
      <c r="R590" s="3">
        <v>5534432.9699999997</v>
      </c>
      <c r="S590" s="3">
        <v>0</v>
      </c>
      <c r="T590" s="3">
        <v>5534432.9699999997</v>
      </c>
      <c r="U590" t="str">
        <f t="shared" si="9"/>
        <v>Achive</v>
      </c>
    </row>
    <row r="591" spans="1:21" x14ac:dyDescent="0.3">
      <c r="A591" s="2">
        <v>800648</v>
      </c>
      <c r="B591" s="10">
        <v>45715</v>
      </c>
      <c r="C591" s="2" t="s">
        <v>38</v>
      </c>
      <c r="D591" s="2" t="s">
        <v>118</v>
      </c>
      <c r="E591" s="2" t="s">
        <v>125</v>
      </c>
      <c r="F591" s="2" t="s">
        <v>41</v>
      </c>
      <c r="G591" s="2" t="s">
        <v>47</v>
      </c>
      <c r="H591" s="2" t="s">
        <v>25</v>
      </c>
      <c r="I591" s="2" t="s">
        <v>43</v>
      </c>
      <c r="J591" s="2" t="s">
        <v>101</v>
      </c>
      <c r="K591" s="2" t="s">
        <v>45</v>
      </c>
      <c r="L591" s="2" t="s">
        <v>87</v>
      </c>
      <c r="M591" s="2">
        <v>4</v>
      </c>
      <c r="N591" s="3">
        <v>1000000</v>
      </c>
      <c r="O591" s="3">
        <v>1002193.97</v>
      </c>
      <c r="P591" s="4">
        <v>12.5</v>
      </c>
      <c r="Q591" s="2">
        <v>0</v>
      </c>
      <c r="R591" s="3">
        <v>4008775.88</v>
      </c>
      <c r="S591" s="3">
        <v>501096.98</v>
      </c>
      <c r="T591" s="3">
        <v>3507678.9</v>
      </c>
      <c r="U591" t="str">
        <f t="shared" si="9"/>
        <v>Achive</v>
      </c>
    </row>
    <row r="592" spans="1:21" x14ac:dyDescent="0.3">
      <c r="A592" s="2">
        <v>800346</v>
      </c>
      <c r="B592" s="10">
        <v>45716</v>
      </c>
      <c r="C592" s="2" t="s">
        <v>20</v>
      </c>
      <c r="D592" s="2" t="s">
        <v>74</v>
      </c>
      <c r="E592" s="2" t="s">
        <v>113</v>
      </c>
      <c r="F592" s="2" t="s">
        <v>41</v>
      </c>
      <c r="G592" s="2" t="s">
        <v>94</v>
      </c>
      <c r="H592" s="2" t="s">
        <v>25</v>
      </c>
      <c r="I592" s="2" t="s">
        <v>43</v>
      </c>
      <c r="J592" s="2" t="s">
        <v>44</v>
      </c>
      <c r="K592" s="2" t="s">
        <v>129</v>
      </c>
      <c r="L592" s="2" t="s">
        <v>59</v>
      </c>
      <c r="M592" s="2">
        <v>5</v>
      </c>
      <c r="N592" s="3">
        <v>800000</v>
      </c>
      <c r="O592" s="3">
        <v>793822.28</v>
      </c>
      <c r="P592" s="4">
        <v>0</v>
      </c>
      <c r="Q592" s="2">
        <v>0</v>
      </c>
      <c r="R592" s="3">
        <v>3969111.4</v>
      </c>
      <c r="S592" s="3">
        <v>0</v>
      </c>
      <c r="T592" s="3">
        <v>3969111.4</v>
      </c>
      <c r="U592" t="str">
        <f t="shared" si="9"/>
        <v>Achive</v>
      </c>
    </row>
    <row r="593" spans="1:21" x14ac:dyDescent="0.3">
      <c r="A593" s="2">
        <v>800435</v>
      </c>
      <c r="B593" s="10">
        <v>45716</v>
      </c>
      <c r="C593" s="2" t="s">
        <v>20</v>
      </c>
      <c r="D593" s="2" t="s">
        <v>74</v>
      </c>
      <c r="E593" s="2" t="s">
        <v>75</v>
      </c>
      <c r="F593" s="2" t="s">
        <v>23</v>
      </c>
      <c r="G593" s="2" t="s">
        <v>94</v>
      </c>
      <c r="H593" s="2" t="s">
        <v>25</v>
      </c>
      <c r="I593" s="2" t="s">
        <v>67</v>
      </c>
      <c r="J593" s="2" t="s">
        <v>85</v>
      </c>
      <c r="K593" s="2" t="s">
        <v>91</v>
      </c>
      <c r="L593" s="2" t="s">
        <v>73</v>
      </c>
      <c r="M593" s="2">
        <v>1</v>
      </c>
      <c r="N593" s="3">
        <v>1500000</v>
      </c>
      <c r="O593" s="3">
        <v>1491069.19</v>
      </c>
      <c r="P593" s="4">
        <v>2</v>
      </c>
      <c r="Q593" s="2">
        <v>0</v>
      </c>
      <c r="R593" s="3">
        <v>1491069.19</v>
      </c>
      <c r="S593" s="3">
        <v>29821.38</v>
      </c>
      <c r="T593" s="3">
        <v>1461247.81</v>
      </c>
      <c r="U593" t="str">
        <f t="shared" si="9"/>
        <v>Not achive</v>
      </c>
    </row>
    <row r="594" spans="1:21" x14ac:dyDescent="0.3">
      <c r="A594" s="2">
        <v>800026</v>
      </c>
      <c r="B594" s="10">
        <v>45717</v>
      </c>
      <c r="C594" s="2" t="s">
        <v>38</v>
      </c>
      <c r="D594" s="2" t="s">
        <v>79</v>
      </c>
      <c r="E594" s="2" t="s">
        <v>80</v>
      </c>
      <c r="F594" s="2" t="s">
        <v>41</v>
      </c>
      <c r="G594" s="2" t="s">
        <v>90</v>
      </c>
      <c r="H594" s="2" t="s">
        <v>25</v>
      </c>
      <c r="I594" s="2" t="s">
        <v>26</v>
      </c>
      <c r="J594" s="2" t="s">
        <v>105</v>
      </c>
      <c r="K594" s="2" t="s">
        <v>89</v>
      </c>
      <c r="L594" s="2" t="s">
        <v>73</v>
      </c>
      <c r="M594" s="2">
        <v>2</v>
      </c>
      <c r="N594" s="3">
        <v>950000</v>
      </c>
      <c r="O594" s="3">
        <v>961102.89</v>
      </c>
      <c r="P594" s="4">
        <v>5</v>
      </c>
      <c r="Q594" s="2">
        <v>0</v>
      </c>
      <c r="R594" s="3">
        <v>1922205.78</v>
      </c>
      <c r="S594" s="3">
        <v>96110.29</v>
      </c>
      <c r="T594" s="3">
        <v>1826095.49</v>
      </c>
      <c r="U594" t="str">
        <f t="shared" si="9"/>
        <v>Not achive</v>
      </c>
    </row>
    <row r="595" spans="1:21" x14ac:dyDescent="0.3">
      <c r="A595" s="2">
        <v>800229</v>
      </c>
      <c r="B595" s="10">
        <v>45717</v>
      </c>
      <c r="C595" s="2" t="s">
        <v>51</v>
      </c>
      <c r="D595" s="2" t="s">
        <v>55</v>
      </c>
      <c r="E595" s="2" t="s">
        <v>137</v>
      </c>
      <c r="F595" s="2" t="s">
        <v>32</v>
      </c>
      <c r="G595" s="2" t="s">
        <v>116</v>
      </c>
      <c r="H595" s="2" t="s">
        <v>25</v>
      </c>
      <c r="I595" s="2" t="s">
        <v>34</v>
      </c>
      <c r="J595" s="2" t="s">
        <v>35</v>
      </c>
      <c r="K595" s="2" t="s">
        <v>36</v>
      </c>
      <c r="L595" s="2" t="s">
        <v>59</v>
      </c>
      <c r="M595" s="2">
        <v>2</v>
      </c>
      <c r="N595" s="3">
        <v>550000</v>
      </c>
      <c r="O595" s="3">
        <v>560718.82999999996</v>
      </c>
      <c r="P595" s="4">
        <v>0</v>
      </c>
      <c r="Q595" s="2">
        <v>0</v>
      </c>
      <c r="R595" s="3">
        <v>1121437.6599999999</v>
      </c>
      <c r="S595" s="3">
        <v>0</v>
      </c>
      <c r="T595" s="3">
        <v>1121437.6599999999</v>
      </c>
      <c r="U595" t="str">
        <f t="shared" si="9"/>
        <v>Not achive</v>
      </c>
    </row>
    <row r="596" spans="1:21" x14ac:dyDescent="0.3">
      <c r="A596" s="2">
        <v>800314</v>
      </c>
      <c r="B596" s="10">
        <v>45717</v>
      </c>
      <c r="C596" s="2" t="s">
        <v>69</v>
      </c>
      <c r="D596" s="2" t="s">
        <v>95</v>
      </c>
      <c r="E596" s="2" t="s">
        <v>135</v>
      </c>
      <c r="F596" s="2" t="s">
        <v>41</v>
      </c>
      <c r="G596" s="2" t="s">
        <v>72</v>
      </c>
      <c r="H596" s="2" t="s">
        <v>25</v>
      </c>
      <c r="I596" s="2" t="s">
        <v>43</v>
      </c>
      <c r="J596" s="2" t="s">
        <v>101</v>
      </c>
      <c r="K596" s="2" t="s">
        <v>102</v>
      </c>
      <c r="L596" s="2" t="s">
        <v>59</v>
      </c>
      <c r="M596" s="2">
        <v>5</v>
      </c>
      <c r="N596" s="3">
        <v>1000000</v>
      </c>
      <c r="O596" s="3">
        <v>972429.35</v>
      </c>
      <c r="P596" s="4">
        <v>0</v>
      </c>
      <c r="Q596" s="2">
        <v>0</v>
      </c>
      <c r="R596" s="3">
        <v>4862146.75</v>
      </c>
      <c r="S596" s="3">
        <v>0</v>
      </c>
      <c r="T596" s="3">
        <v>4862146.75</v>
      </c>
      <c r="U596" t="str">
        <f t="shared" si="9"/>
        <v>Achive</v>
      </c>
    </row>
    <row r="597" spans="1:21" x14ac:dyDescent="0.3">
      <c r="A597" s="2">
        <v>800121</v>
      </c>
      <c r="B597" s="10">
        <v>45718</v>
      </c>
      <c r="C597" s="2" t="s">
        <v>20</v>
      </c>
      <c r="D597" s="2" t="s">
        <v>74</v>
      </c>
      <c r="E597" s="2" t="s">
        <v>113</v>
      </c>
      <c r="F597" s="2" t="s">
        <v>32</v>
      </c>
      <c r="G597" s="2" t="s">
        <v>100</v>
      </c>
      <c r="H597" s="2" t="s">
        <v>25</v>
      </c>
      <c r="I597" s="2" t="s">
        <v>26</v>
      </c>
      <c r="J597" s="2" t="s">
        <v>105</v>
      </c>
      <c r="K597" s="2" t="s">
        <v>49</v>
      </c>
      <c r="L597" s="2" t="s">
        <v>92</v>
      </c>
      <c r="M597" s="2">
        <v>3</v>
      </c>
      <c r="N597" s="3">
        <v>950000</v>
      </c>
      <c r="O597" s="3">
        <v>928217.85</v>
      </c>
      <c r="P597" s="4">
        <v>7.5</v>
      </c>
      <c r="Q597" s="2">
        <v>0</v>
      </c>
      <c r="R597" s="3">
        <v>2784653.55</v>
      </c>
      <c r="S597" s="3">
        <v>208849.02</v>
      </c>
      <c r="T597" s="3">
        <v>2575804.5299999998</v>
      </c>
      <c r="U597" t="str">
        <f t="shared" si="9"/>
        <v>Achive</v>
      </c>
    </row>
    <row r="598" spans="1:21" x14ac:dyDescent="0.3">
      <c r="A598" s="2">
        <v>800303</v>
      </c>
      <c r="B598" s="10">
        <v>45718</v>
      </c>
      <c r="C598" s="2" t="s">
        <v>38</v>
      </c>
      <c r="D598" s="2" t="s">
        <v>79</v>
      </c>
      <c r="E598" s="2" t="s">
        <v>133</v>
      </c>
      <c r="F598" s="2" t="s">
        <v>32</v>
      </c>
      <c r="G598" s="2" t="s">
        <v>90</v>
      </c>
      <c r="H598" s="2" t="s">
        <v>25</v>
      </c>
      <c r="I598" s="2" t="s">
        <v>43</v>
      </c>
      <c r="J598" s="2" t="s">
        <v>101</v>
      </c>
      <c r="K598" s="2" t="s">
        <v>45</v>
      </c>
      <c r="L598" s="2" t="s">
        <v>92</v>
      </c>
      <c r="M598" s="2">
        <v>4</v>
      </c>
      <c r="N598" s="3">
        <v>1000000</v>
      </c>
      <c r="O598" s="3">
        <v>1003026.52</v>
      </c>
      <c r="P598" s="4">
        <v>0</v>
      </c>
      <c r="Q598" s="2">
        <v>0</v>
      </c>
      <c r="R598" s="3">
        <v>4012106.08</v>
      </c>
      <c r="S598" s="3">
        <v>0</v>
      </c>
      <c r="T598" s="3">
        <v>4012106.08</v>
      </c>
      <c r="U598" t="str">
        <f t="shared" si="9"/>
        <v>Achive</v>
      </c>
    </row>
    <row r="599" spans="1:21" x14ac:dyDescent="0.3">
      <c r="A599" s="2">
        <v>800105</v>
      </c>
      <c r="B599" s="10">
        <v>45719</v>
      </c>
      <c r="C599" s="2" t="s">
        <v>51</v>
      </c>
      <c r="D599" s="2" t="s">
        <v>55</v>
      </c>
      <c r="E599" s="2" t="s">
        <v>137</v>
      </c>
      <c r="F599" s="2" t="s">
        <v>41</v>
      </c>
      <c r="G599" s="2" t="s">
        <v>47</v>
      </c>
      <c r="H599" s="2" t="s">
        <v>25</v>
      </c>
      <c r="I599" s="2" t="s">
        <v>67</v>
      </c>
      <c r="J599" s="2" t="s">
        <v>112</v>
      </c>
      <c r="K599" s="2" t="s">
        <v>58</v>
      </c>
      <c r="L599" s="2" t="s">
        <v>87</v>
      </c>
      <c r="M599" s="2">
        <v>3</v>
      </c>
      <c r="N599" s="3">
        <v>1250000</v>
      </c>
      <c r="O599" s="3">
        <v>1273409.1599999999</v>
      </c>
      <c r="P599" s="4">
        <v>0</v>
      </c>
      <c r="Q599" s="2">
        <v>0</v>
      </c>
      <c r="R599" s="3">
        <v>3820227.48</v>
      </c>
      <c r="S599" s="3">
        <v>0</v>
      </c>
      <c r="T599" s="3">
        <v>3820227.48</v>
      </c>
      <c r="U599" t="str">
        <f t="shared" si="9"/>
        <v>Achive</v>
      </c>
    </row>
    <row r="600" spans="1:21" x14ac:dyDescent="0.3">
      <c r="A600" s="2">
        <v>800333</v>
      </c>
      <c r="B600" s="10">
        <v>45719</v>
      </c>
      <c r="C600" s="2" t="s">
        <v>51</v>
      </c>
      <c r="D600" s="2" t="s">
        <v>110</v>
      </c>
      <c r="E600" s="2" t="s">
        <v>111</v>
      </c>
      <c r="F600" s="2" t="s">
        <v>23</v>
      </c>
      <c r="G600" s="2" t="s">
        <v>94</v>
      </c>
      <c r="H600" s="2" t="s">
        <v>25</v>
      </c>
      <c r="I600" s="2" t="s">
        <v>34</v>
      </c>
      <c r="J600" s="2" t="s">
        <v>35</v>
      </c>
      <c r="K600" s="2" t="s">
        <v>45</v>
      </c>
      <c r="L600" s="2" t="s">
        <v>92</v>
      </c>
      <c r="M600" s="2">
        <v>2</v>
      </c>
      <c r="N600" s="3">
        <v>550000</v>
      </c>
      <c r="O600" s="3">
        <v>553588.6</v>
      </c>
      <c r="P600" s="4">
        <v>0</v>
      </c>
      <c r="Q600" s="2">
        <v>0</v>
      </c>
      <c r="R600" s="3">
        <v>1107177.2</v>
      </c>
      <c r="S600" s="3">
        <v>0</v>
      </c>
      <c r="T600" s="3">
        <v>1107177.2</v>
      </c>
      <c r="U600" t="str">
        <f t="shared" si="9"/>
        <v>Not achive</v>
      </c>
    </row>
    <row r="601" spans="1:21" x14ac:dyDescent="0.3">
      <c r="A601" s="2">
        <v>800637</v>
      </c>
      <c r="B601" s="10">
        <v>45719</v>
      </c>
      <c r="C601" s="2" t="s">
        <v>51</v>
      </c>
      <c r="D601" s="2" t="s">
        <v>52</v>
      </c>
      <c r="E601" s="2" t="s">
        <v>139</v>
      </c>
      <c r="F601" s="2" t="s">
        <v>46</v>
      </c>
      <c r="G601" s="2" t="s">
        <v>66</v>
      </c>
      <c r="H601" s="2" t="s">
        <v>25</v>
      </c>
      <c r="I601" s="2" t="s">
        <v>26</v>
      </c>
      <c r="J601" s="2" t="s">
        <v>105</v>
      </c>
      <c r="K601" s="2" t="s">
        <v>89</v>
      </c>
      <c r="L601" s="2" t="s">
        <v>122</v>
      </c>
      <c r="M601" s="2">
        <v>3</v>
      </c>
      <c r="N601" s="3">
        <v>950000</v>
      </c>
      <c r="O601" s="3">
        <v>931935.86</v>
      </c>
      <c r="P601" s="4">
        <v>7.5</v>
      </c>
      <c r="Q601" s="2">
        <v>0</v>
      </c>
      <c r="R601" s="3">
        <v>2795807.58</v>
      </c>
      <c r="S601" s="3">
        <v>209685.57</v>
      </c>
      <c r="T601" s="3">
        <v>2586122.0099999998</v>
      </c>
      <c r="U601" t="str">
        <f t="shared" si="9"/>
        <v>Achive</v>
      </c>
    </row>
    <row r="602" spans="1:21" x14ac:dyDescent="0.3">
      <c r="A602" s="2">
        <v>800475</v>
      </c>
      <c r="B602" s="10">
        <v>45720</v>
      </c>
      <c r="C602" s="2" t="s">
        <v>20</v>
      </c>
      <c r="D602" s="2" t="s">
        <v>74</v>
      </c>
      <c r="E602" s="2" t="s">
        <v>75</v>
      </c>
      <c r="F602" s="2" t="s">
        <v>41</v>
      </c>
      <c r="G602" s="2" t="s">
        <v>47</v>
      </c>
      <c r="H602" s="2" t="s">
        <v>25</v>
      </c>
      <c r="I602" s="2" t="s">
        <v>43</v>
      </c>
      <c r="J602" s="2" t="s">
        <v>101</v>
      </c>
      <c r="K602" s="2" t="s">
        <v>45</v>
      </c>
      <c r="L602" s="2" t="s">
        <v>92</v>
      </c>
      <c r="M602" s="2">
        <v>1</v>
      </c>
      <c r="N602" s="3">
        <v>1000000</v>
      </c>
      <c r="O602" s="3">
        <v>986664.49</v>
      </c>
      <c r="P602" s="4">
        <v>0</v>
      </c>
      <c r="Q602" s="2">
        <v>0</v>
      </c>
      <c r="R602" s="3">
        <v>986664.49</v>
      </c>
      <c r="S602" s="3">
        <v>0</v>
      </c>
      <c r="T602" s="3">
        <v>986664.49</v>
      </c>
      <c r="U602" t="str">
        <f t="shared" si="9"/>
        <v>Not achive</v>
      </c>
    </row>
    <row r="603" spans="1:21" x14ac:dyDescent="0.3">
      <c r="A603" s="2">
        <v>800283</v>
      </c>
      <c r="B603" s="10">
        <v>45721</v>
      </c>
      <c r="C603" s="2" t="s">
        <v>69</v>
      </c>
      <c r="D603" s="2" t="s">
        <v>95</v>
      </c>
      <c r="E603" s="2" t="s">
        <v>131</v>
      </c>
      <c r="F603" s="2" t="s">
        <v>23</v>
      </c>
      <c r="G603" s="2" t="s">
        <v>54</v>
      </c>
      <c r="H603" s="2" t="s">
        <v>25</v>
      </c>
      <c r="I603" s="2" t="s">
        <v>67</v>
      </c>
      <c r="J603" s="2" t="s">
        <v>108</v>
      </c>
      <c r="K603" s="2" t="s">
        <v>62</v>
      </c>
      <c r="L603" s="2" t="s">
        <v>73</v>
      </c>
      <c r="M603" s="2">
        <v>1</v>
      </c>
      <c r="N603" s="3">
        <v>1800000</v>
      </c>
      <c r="O603" s="3">
        <v>1778474.6</v>
      </c>
      <c r="P603" s="4">
        <v>10</v>
      </c>
      <c r="Q603" s="2">
        <v>0</v>
      </c>
      <c r="R603" s="3">
        <v>1778474.6</v>
      </c>
      <c r="S603" s="3">
        <v>177847.46</v>
      </c>
      <c r="T603" s="3">
        <v>1600627.14</v>
      </c>
      <c r="U603" t="str">
        <f t="shared" si="9"/>
        <v>Not achive</v>
      </c>
    </row>
    <row r="604" spans="1:21" x14ac:dyDescent="0.3">
      <c r="A604" s="2">
        <v>800351</v>
      </c>
      <c r="B604" s="10">
        <v>45721</v>
      </c>
      <c r="C604" s="2" t="s">
        <v>51</v>
      </c>
      <c r="D604" s="2" t="s">
        <v>106</v>
      </c>
      <c r="E604" s="2" t="s">
        <v>107</v>
      </c>
      <c r="F604" s="2" t="s">
        <v>32</v>
      </c>
      <c r="G604" s="2" t="s">
        <v>61</v>
      </c>
      <c r="H604" s="2" t="s">
        <v>25</v>
      </c>
      <c r="I604" s="2" t="s">
        <v>67</v>
      </c>
      <c r="J604" s="2" t="s">
        <v>68</v>
      </c>
      <c r="K604" s="2" t="s">
        <v>91</v>
      </c>
      <c r="L604" s="2" t="s">
        <v>78</v>
      </c>
      <c r="M604" s="2">
        <v>3</v>
      </c>
      <c r="N604" s="3">
        <v>1200000</v>
      </c>
      <c r="O604" s="3">
        <v>1169190.31</v>
      </c>
      <c r="P604" s="4">
        <v>12.5</v>
      </c>
      <c r="Q604" s="2">
        <v>0</v>
      </c>
      <c r="R604" s="3">
        <v>3507570.93</v>
      </c>
      <c r="S604" s="3">
        <v>438446.37</v>
      </c>
      <c r="T604" s="3">
        <v>3069124.56</v>
      </c>
      <c r="U604" t="str">
        <f t="shared" si="9"/>
        <v>Achive</v>
      </c>
    </row>
    <row r="605" spans="1:21" x14ac:dyDescent="0.3">
      <c r="A605" s="2">
        <v>800441</v>
      </c>
      <c r="B605" s="10">
        <v>45721</v>
      </c>
      <c r="C605" s="2" t="s">
        <v>51</v>
      </c>
      <c r="D605" s="2" t="s">
        <v>55</v>
      </c>
      <c r="E605" s="2" t="s">
        <v>60</v>
      </c>
      <c r="F605" s="2" t="s">
        <v>41</v>
      </c>
      <c r="G605" s="2" t="s">
        <v>47</v>
      </c>
      <c r="H605" s="2" t="s">
        <v>25</v>
      </c>
      <c r="I605" s="2" t="s">
        <v>26</v>
      </c>
      <c r="J605" s="2" t="s">
        <v>76</v>
      </c>
      <c r="K605" s="2" t="s">
        <v>115</v>
      </c>
      <c r="L605" s="2" t="s">
        <v>92</v>
      </c>
      <c r="M605" s="2">
        <v>2</v>
      </c>
      <c r="N605" s="3">
        <v>700000</v>
      </c>
      <c r="O605" s="3">
        <v>680857.98</v>
      </c>
      <c r="P605" s="4">
        <v>0</v>
      </c>
      <c r="Q605" s="2">
        <v>0</v>
      </c>
      <c r="R605" s="3">
        <v>1361715.96</v>
      </c>
      <c r="S605" s="3">
        <v>0</v>
      </c>
      <c r="T605" s="3">
        <v>1361715.96</v>
      </c>
      <c r="U605" t="str">
        <f t="shared" si="9"/>
        <v>Not achive</v>
      </c>
    </row>
    <row r="606" spans="1:21" x14ac:dyDescent="0.3">
      <c r="A606" s="2">
        <v>800627</v>
      </c>
      <c r="B606" s="10">
        <v>45721</v>
      </c>
      <c r="C606" s="2" t="s">
        <v>20</v>
      </c>
      <c r="D606" s="2" t="s">
        <v>74</v>
      </c>
      <c r="E606" s="2" t="s">
        <v>75</v>
      </c>
      <c r="F606" s="2" t="s">
        <v>32</v>
      </c>
      <c r="G606" s="2" t="s">
        <v>61</v>
      </c>
      <c r="H606" s="2" t="s">
        <v>25</v>
      </c>
      <c r="I606" s="2" t="s">
        <v>43</v>
      </c>
      <c r="J606" s="2" t="s">
        <v>101</v>
      </c>
      <c r="K606" s="2" t="s">
        <v>45</v>
      </c>
      <c r="L606" s="2" t="s">
        <v>59</v>
      </c>
      <c r="M606" s="2">
        <v>1</v>
      </c>
      <c r="N606" s="3">
        <v>1000000</v>
      </c>
      <c r="O606" s="3">
        <v>995532.58</v>
      </c>
      <c r="P606" s="4">
        <v>10</v>
      </c>
      <c r="Q606" s="2">
        <v>0</v>
      </c>
      <c r="R606" s="3">
        <v>995532.58</v>
      </c>
      <c r="S606" s="3">
        <v>99553.26</v>
      </c>
      <c r="T606" s="3">
        <v>895979.32</v>
      </c>
      <c r="U606" t="str">
        <f t="shared" si="9"/>
        <v>Not achive</v>
      </c>
    </row>
    <row r="607" spans="1:21" x14ac:dyDescent="0.3">
      <c r="A607" s="2">
        <v>800038</v>
      </c>
      <c r="B607" s="10">
        <v>45722</v>
      </c>
      <c r="C607" s="2" t="s">
        <v>38</v>
      </c>
      <c r="D607" s="2" t="s">
        <v>63</v>
      </c>
      <c r="E607" s="2" t="s">
        <v>64</v>
      </c>
      <c r="F607" s="2" t="s">
        <v>23</v>
      </c>
      <c r="G607" s="2" t="s">
        <v>42</v>
      </c>
      <c r="H607" s="2" t="s">
        <v>25</v>
      </c>
      <c r="I607" s="2" t="s">
        <v>26</v>
      </c>
      <c r="J607" s="2" t="s">
        <v>76</v>
      </c>
      <c r="K607" s="2" t="s">
        <v>115</v>
      </c>
      <c r="L607" s="2" t="s">
        <v>37</v>
      </c>
      <c r="M607" s="2">
        <v>3</v>
      </c>
      <c r="N607" s="3">
        <v>700000</v>
      </c>
      <c r="O607" s="3">
        <v>684939.2</v>
      </c>
      <c r="P607" s="4">
        <v>0</v>
      </c>
      <c r="Q607" s="2">
        <v>0</v>
      </c>
      <c r="R607" s="3">
        <v>2054817.6</v>
      </c>
      <c r="S607" s="3">
        <v>0</v>
      </c>
      <c r="T607" s="3">
        <v>2054817.6</v>
      </c>
      <c r="U607" t="str">
        <f t="shared" si="9"/>
        <v>Achive</v>
      </c>
    </row>
    <row r="608" spans="1:21" x14ac:dyDescent="0.3">
      <c r="A608" s="2">
        <v>800325</v>
      </c>
      <c r="B608" s="10">
        <v>45722</v>
      </c>
      <c r="C608" s="2" t="s">
        <v>69</v>
      </c>
      <c r="D608" s="2" t="s">
        <v>83</v>
      </c>
      <c r="E608" s="2" t="s">
        <v>84</v>
      </c>
      <c r="F608" s="2" t="s">
        <v>32</v>
      </c>
      <c r="G608" s="2" t="s">
        <v>94</v>
      </c>
      <c r="H608" s="2" t="s">
        <v>25</v>
      </c>
      <c r="I608" s="2" t="s">
        <v>26</v>
      </c>
      <c r="J608" s="2" t="s">
        <v>120</v>
      </c>
      <c r="K608" s="2" t="s">
        <v>121</v>
      </c>
      <c r="L608" s="2" t="s">
        <v>92</v>
      </c>
      <c r="M608" s="2">
        <v>1</v>
      </c>
      <c r="N608" s="3">
        <v>1900000</v>
      </c>
      <c r="O608" s="3">
        <v>1884120.55</v>
      </c>
      <c r="P608" s="4">
        <v>2</v>
      </c>
      <c r="Q608" s="2">
        <v>0</v>
      </c>
      <c r="R608" s="3">
        <v>1884120.55</v>
      </c>
      <c r="S608" s="3">
        <v>37682.410000000003</v>
      </c>
      <c r="T608" s="3">
        <v>1846438.14</v>
      </c>
      <c r="U608" t="str">
        <f t="shared" si="9"/>
        <v>Not achive</v>
      </c>
    </row>
    <row r="609" spans="1:21" x14ac:dyDescent="0.3">
      <c r="A609" s="2">
        <v>800440</v>
      </c>
      <c r="B609" s="10">
        <v>45722</v>
      </c>
      <c r="C609" s="2" t="s">
        <v>69</v>
      </c>
      <c r="D609" s="2" t="s">
        <v>95</v>
      </c>
      <c r="E609" s="2" t="s">
        <v>96</v>
      </c>
      <c r="F609" s="2" t="s">
        <v>32</v>
      </c>
      <c r="G609" s="2" t="s">
        <v>47</v>
      </c>
      <c r="H609" s="2" t="s">
        <v>25</v>
      </c>
      <c r="I609" s="2" t="s">
        <v>67</v>
      </c>
      <c r="J609" s="2" t="s">
        <v>108</v>
      </c>
      <c r="K609" s="2" t="s">
        <v>62</v>
      </c>
      <c r="L609" s="2" t="s">
        <v>92</v>
      </c>
      <c r="M609" s="2">
        <v>3</v>
      </c>
      <c r="N609" s="3">
        <v>1800000</v>
      </c>
      <c r="O609" s="3">
        <v>1835307.19</v>
      </c>
      <c r="P609" s="4">
        <v>0</v>
      </c>
      <c r="Q609" s="2">
        <v>0</v>
      </c>
      <c r="R609" s="3">
        <v>5505921.5700000003</v>
      </c>
      <c r="S609" s="3">
        <v>0</v>
      </c>
      <c r="T609" s="3">
        <v>5505921.5700000003</v>
      </c>
      <c r="U609" t="str">
        <f t="shared" si="9"/>
        <v>Achive</v>
      </c>
    </row>
    <row r="610" spans="1:21" x14ac:dyDescent="0.3">
      <c r="A610" s="2">
        <v>800599</v>
      </c>
      <c r="B610" s="10">
        <v>45722</v>
      </c>
      <c r="C610" s="2" t="s">
        <v>69</v>
      </c>
      <c r="D610" s="2" t="s">
        <v>70</v>
      </c>
      <c r="E610" s="2" t="s">
        <v>71</v>
      </c>
      <c r="F610" s="2" t="s">
        <v>65</v>
      </c>
      <c r="G610" s="2" t="s">
        <v>66</v>
      </c>
      <c r="H610" s="2" t="s">
        <v>25</v>
      </c>
      <c r="I610" s="2" t="s">
        <v>26</v>
      </c>
      <c r="J610" s="2" t="s">
        <v>120</v>
      </c>
      <c r="K610" s="2" t="s">
        <v>77</v>
      </c>
      <c r="L610" s="2" t="s">
        <v>78</v>
      </c>
      <c r="M610" s="2">
        <v>1</v>
      </c>
      <c r="N610" s="3">
        <v>1900000</v>
      </c>
      <c r="O610" s="3">
        <v>1904312.77</v>
      </c>
      <c r="P610" s="4">
        <v>0</v>
      </c>
      <c r="Q610" s="2">
        <v>0</v>
      </c>
      <c r="R610" s="3">
        <v>1904312.77</v>
      </c>
      <c r="S610" s="3">
        <v>0</v>
      </c>
      <c r="T610" s="3">
        <v>1904312.77</v>
      </c>
      <c r="U610" t="str">
        <f t="shared" si="9"/>
        <v>Not achive</v>
      </c>
    </row>
    <row r="611" spans="1:21" x14ac:dyDescent="0.3">
      <c r="A611" s="2">
        <v>800354</v>
      </c>
      <c r="B611" s="10">
        <v>45726</v>
      </c>
      <c r="C611" s="2" t="s">
        <v>69</v>
      </c>
      <c r="D611" s="2" t="s">
        <v>70</v>
      </c>
      <c r="E611" s="2" t="s">
        <v>136</v>
      </c>
      <c r="F611" s="2" t="s">
        <v>32</v>
      </c>
      <c r="G611" s="2" t="s">
        <v>100</v>
      </c>
      <c r="H611" s="2" t="s">
        <v>25</v>
      </c>
      <c r="I611" s="2" t="s">
        <v>26</v>
      </c>
      <c r="J611" s="2" t="s">
        <v>57</v>
      </c>
      <c r="K611" s="2" t="s">
        <v>58</v>
      </c>
      <c r="L611" s="2" t="s">
        <v>122</v>
      </c>
      <c r="M611" s="2">
        <v>3</v>
      </c>
      <c r="N611" s="3">
        <v>800000</v>
      </c>
      <c r="O611" s="3">
        <v>809389.93</v>
      </c>
      <c r="P611" s="4">
        <v>2</v>
      </c>
      <c r="Q611" s="2">
        <v>0</v>
      </c>
      <c r="R611" s="3">
        <v>2428169.79</v>
      </c>
      <c r="S611" s="3">
        <v>48563.4</v>
      </c>
      <c r="T611" s="3">
        <v>2379606.39</v>
      </c>
      <c r="U611" t="str">
        <f t="shared" si="9"/>
        <v>Achive</v>
      </c>
    </row>
    <row r="612" spans="1:21" x14ac:dyDescent="0.3">
      <c r="A612" s="2">
        <v>800068</v>
      </c>
      <c r="B612" s="10">
        <v>45727</v>
      </c>
      <c r="C612" s="2" t="s">
        <v>51</v>
      </c>
      <c r="D612" s="2" t="s">
        <v>110</v>
      </c>
      <c r="E612" s="2" t="s">
        <v>111</v>
      </c>
      <c r="F612" s="2" t="s">
        <v>65</v>
      </c>
      <c r="G612" s="2" t="s">
        <v>54</v>
      </c>
      <c r="H612" s="2" t="s">
        <v>25</v>
      </c>
      <c r="I612" s="2" t="s">
        <v>67</v>
      </c>
      <c r="J612" s="2" t="s">
        <v>68</v>
      </c>
      <c r="K612" s="2" t="s">
        <v>49</v>
      </c>
      <c r="L612" s="2" t="s">
        <v>50</v>
      </c>
      <c r="M612" s="2">
        <v>1</v>
      </c>
      <c r="N612" s="3">
        <v>1200000</v>
      </c>
      <c r="O612" s="3">
        <v>1221714.67</v>
      </c>
      <c r="P612" s="4">
        <v>0</v>
      </c>
      <c r="Q612" s="2">
        <v>0</v>
      </c>
      <c r="R612" s="3">
        <v>1221714.67</v>
      </c>
      <c r="S612" s="3">
        <v>0</v>
      </c>
      <c r="T612" s="3">
        <v>1221714.67</v>
      </c>
      <c r="U612" t="str">
        <f t="shared" si="9"/>
        <v>Not achive</v>
      </c>
    </row>
    <row r="613" spans="1:21" x14ac:dyDescent="0.3">
      <c r="A613" s="2">
        <v>800397</v>
      </c>
      <c r="B613" s="10">
        <v>45727</v>
      </c>
      <c r="C613" s="2" t="s">
        <v>51</v>
      </c>
      <c r="D613" s="2" t="s">
        <v>55</v>
      </c>
      <c r="E613" s="2" t="s">
        <v>60</v>
      </c>
      <c r="F613" s="2" t="s">
        <v>32</v>
      </c>
      <c r="G613" s="2" t="s">
        <v>54</v>
      </c>
      <c r="H613" s="2" t="s">
        <v>25</v>
      </c>
      <c r="I613" s="2" t="s">
        <v>26</v>
      </c>
      <c r="J613" s="2" t="s">
        <v>81</v>
      </c>
      <c r="K613" s="2" t="s">
        <v>82</v>
      </c>
      <c r="L613" s="2" t="s">
        <v>59</v>
      </c>
      <c r="M613" s="2">
        <v>1</v>
      </c>
      <c r="N613" s="3">
        <v>1700000</v>
      </c>
      <c r="O613" s="3">
        <v>1732246.72</v>
      </c>
      <c r="P613" s="4">
        <v>5</v>
      </c>
      <c r="Q613" s="2">
        <v>0</v>
      </c>
      <c r="R613" s="3">
        <v>1732246.72</v>
      </c>
      <c r="S613" s="3">
        <v>86612.34</v>
      </c>
      <c r="T613" s="3">
        <v>1645634.38</v>
      </c>
      <c r="U613" t="str">
        <f t="shared" si="9"/>
        <v>Not achive</v>
      </c>
    </row>
    <row r="614" spans="1:21" x14ac:dyDescent="0.3">
      <c r="A614" s="2">
        <v>800433</v>
      </c>
      <c r="B614" s="10">
        <v>45727</v>
      </c>
      <c r="C614" s="2" t="s">
        <v>51</v>
      </c>
      <c r="D614" s="2" t="s">
        <v>110</v>
      </c>
      <c r="E614" s="2" t="s">
        <v>134</v>
      </c>
      <c r="F614" s="2" t="s">
        <v>65</v>
      </c>
      <c r="G614" s="2" t="s">
        <v>94</v>
      </c>
      <c r="H614" s="2" t="s">
        <v>25</v>
      </c>
      <c r="I614" s="2" t="s">
        <v>26</v>
      </c>
      <c r="J614" s="2" t="s">
        <v>127</v>
      </c>
      <c r="K614" s="2" t="s">
        <v>130</v>
      </c>
      <c r="L614" s="2" t="s">
        <v>59</v>
      </c>
      <c r="M614" s="2">
        <v>3</v>
      </c>
      <c r="N614" s="3">
        <v>650000</v>
      </c>
      <c r="O614" s="3">
        <v>635361.35</v>
      </c>
      <c r="P614" s="4">
        <v>2</v>
      </c>
      <c r="Q614" s="2">
        <v>0</v>
      </c>
      <c r="R614" s="3">
        <v>1906084.05</v>
      </c>
      <c r="S614" s="3">
        <v>38121.68</v>
      </c>
      <c r="T614" s="3">
        <v>1867962.37</v>
      </c>
      <c r="U614" t="str">
        <f t="shared" si="9"/>
        <v>Not achive</v>
      </c>
    </row>
    <row r="615" spans="1:21" x14ac:dyDescent="0.3">
      <c r="A615" s="2">
        <v>800338</v>
      </c>
      <c r="B615" s="10">
        <v>45728</v>
      </c>
      <c r="C615" s="2" t="s">
        <v>38</v>
      </c>
      <c r="D615" s="2" t="s">
        <v>118</v>
      </c>
      <c r="E615" s="2" t="s">
        <v>119</v>
      </c>
      <c r="F615" s="2" t="s">
        <v>41</v>
      </c>
      <c r="G615" s="2" t="s">
        <v>33</v>
      </c>
      <c r="H615" s="2" t="s">
        <v>25</v>
      </c>
      <c r="I615" s="2" t="s">
        <v>34</v>
      </c>
      <c r="J615" s="2" t="s">
        <v>35</v>
      </c>
      <c r="K615" s="2" t="s">
        <v>36</v>
      </c>
      <c r="L615" s="2" t="s">
        <v>122</v>
      </c>
      <c r="M615" s="2">
        <v>5</v>
      </c>
      <c r="N615" s="3">
        <v>550000</v>
      </c>
      <c r="O615" s="3">
        <v>534388.43000000005</v>
      </c>
      <c r="P615" s="4">
        <v>12.5</v>
      </c>
      <c r="Q615" s="2">
        <v>0</v>
      </c>
      <c r="R615" s="3">
        <v>2671942.15</v>
      </c>
      <c r="S615" s="3">
        <v>333992.77</v>
      </c>
      <c r="T615" s="3">
        <v>2337949.38</v>
      </c>
      <c r="U615" t="str">
        <f t="shared" si="9"/>
        <v>Achive</v>
      </c>
    </row>
    <row r="616" spans="1:21" x14ac:dyDescent="0.3">
      <c r="A616" s="2">
        <v>800478</v>
      </c>
      <c r="B616" s="10">
        <v>45728</v>
      </c>
      <c r="C616" s="2" t="s">
        <v>38</v>
      </c>
      <c r="D616" s="2" t="s">
        <v>79</v>
      </c>
      <c r="E616" s="2" t="s">
        <v>133</v>
      </c>
      <c r="F616" s="2" t="s">
        <v>41</v>
      </c>
      <c r="G616" s="2" t="s">
        <v>47</v>
      </c>
      <c r="H616" s="2" t="s">
        <v>25</v>
      </c>
      <c r="I616" s="2" t="s">
        <v>67</v>
      </c>
      <c r="J616" s="2" t="s">
        <v>112</v>
      </c>
      <c r="K616" s="2" t="s">
        <v>99</v>
      </c>
      <c r="L616" s="2" t="s">
        <v>59</v>
      </c>
      <c r="M616" s="2">
        <v>2</v>
      </c>
      <c r="N616" s="3">
        <v>1250000</v>
      </c>
      <c r="O616" s="3">
        <v>1215670.3899999999</v>
      </c>
      <c r="P616" s="4">
        <v>0</v>
      </c>
      <c r="Q616" s="2">
        <v>0</v>
      </c>
      <c r="R616" s="3">
        <v>2431340.7799999998</v>
      </c>
      <c r="S616" s="3">
        <v>0</v>
      </c>
      <c r="T616" s="3">
        <v>2431340.7799999998</v>
      </c>
      <c r="U616" t="str">
        <f t="shared" si="9"/>
        <v>Achive</v>
      </c>
    </row>
    <row r="617" spans="1:21" x14ac:dyDescent="0.3">
      <c r="A617" s="2">
        <v>800528</v>
      </c>
      <c r="B617" s="10">
        <v>45729</v>
      </c>
      <c r="C617" s="2" t="s">
        <v>69</v>
      </c>
      <c r="D617" s="2" t="s">
        <v>95</v>
      </c>
      <c r="E617" s="2" t="s">
        <v>131</v>
      </c>
      <c r="F617" s="2" t="s">
        <v>23</v>
      </c>
      <c r="G617" s="2" t="s">
        <v>94</v>
      </c>
      <c r="H617" s="2" t="s">
        <v>25</v>
      </c>
      <c r="I617" s="2" t="s">
        <v>26</v>
      </c>
      <c r="J617" s="2" t="s">
        <v>27</v>
      </c>
      <c r="K617" s="2" t="s">
        <v>58</v>
      </c>
      <c r="L617" s="2" t="s">
        <v>122</v>
      </c>
      <c r="M617" s="2">
        <v>3</v>
      </c>
      <c r="N617" s="3">
        <v>750000</v>
      </c>
      <c r="O617" s="3">
        <v>744180.78</v>
      </c>
      <c r="P617" s="4">
        <v>7.5</v>
      </c>
      <c r="Q617" s="2">
        <v>0</v>
      </c>
      <c r="R617" s="3">
        <v>2232542.34</v>
      </c>
      <c r="S617" s="3">
        <v>167440.68</v>
      </c>
      <c r="T617" s="3">
        <v>2065101.66</v>
      </c>
      <c r="U617" t="str">
        <f t="shared" si="9"/>
        <v>Achive</v>
      </c>
    </row>
    <row r="618" spans="1:21" x14ac:dyDescent="0.3">
      <c r="A618" s="2">
        <v>800574</v>
      </c>
      <c r="B618" s="10">
        <v>45729</v>
      </c>
      <c r="C618" s="2" t="s">
        <v>69</v>
      </c>
      <c r="D618" s="2" t="s">
        <v>95</v>
      </c>
      <c r="E618" s="2" t="s">
        <v>135</v>
      </c>
      <c r="F618" s="2" t="s">
        <v>65</v>
      </c>
      <c r="G618" s="2" t="s">
        <v>100</v>
      </c>
      <c r="H618" s="2" t="s">
        <v>25</v>
      </c>
      <c r="I618" s="2" t="s">
        <v>26</v>
      </c>
      <c r="J618" s="2" t="s">
        <v>127</v>
      </c>
      <c r="K618" s="2" t="s">
        <v>99</v>
      </c>
      <c r="L618" s="2" t="s">
        <v>37</v>
      </c>
      <c r="M618" s="2">
        <v>3</v>
      </c>
      <c r="N618" s="3">
        <v>650000</v>
      </c>
      <c r="O618" s="3">
        <v>633918.09</v>
      </c>
      <c r="P618" s="4">
        <v>12.5</v>
      </c>
      <c r="Q618" s="2">
        <v>0</v>
      </c>
      <c r="R618" s="3">
        <v>1901754.27</v>
      </c>
      <c r="S618" s="3">
        <v>237719.28</v>
      </c>
      <c r="T618" s="3">
        <v>1664034.99</v>
      </c>
      <c r="U618" t="str">
        <f t="shared" si="9"/>
        <v>Not achive</v>
      </c>
    </row>
    <row r="619" spans="1:21" x14ac:dyDescent="0.3">
      <c r="A619" s="2">
        <v>800324</v>
      </c>
      <c r="B619" s="10">
        <v>45730</v>
      </c>
      <c r="C619" s="2" t="s">
        <v>38</v>
      </c>
      <c r="D619" s="2" t="s">
        <v>39</v>
      </c>
      <c r="E619" s="2" t="s">
        <v>126</v>
      </c>
      <c r="F619" s="2" t="s">
        <v>23</v>
      </c>
      <c r="G619" s="2" t="s">
        <v>66</v>
      </c>
      <c r="H619" s="2" t="s">
        <v>25</v>
      </c>
      <c r="I619" s="2" t="s">
        <v>26</v>
      </c>
      <c r="J619" s="2" t="s">
        <v>27</v>
      </c>
      <c r="K619" s="2" t="s">
        <v>28</v>
      </c>
      <c r="L619" s="2" t="s">
        <v>37</v>
      </c>
      <c r="M619" s="2">
        <v>1</v>
      </c>
      <c r="N619" s="3">
        <v>750000</v>
      </c>
      <c r="O619" s="3">
        <v>729875.1</v>
      </c>
      <c r="P619" s="4">
        <v>7.5</v>
      </c>
      <c r="Q619" s="2">
        <v>0</v>
      </c>
      <c r="R619" s="3">
        <v>729875.1</v>
      </c>
      <c r="S619" s="3">
        <v>54740.63</v>
      </c>
      <c r="T619" s="3">
        <v>675134.47</v>
      </c>
      <c r="U619" t="str">
        <f t="shared" si="9"/>
        <v>Not achive</v>
      </c>
    </row>
    <row r="620" spans="1:21" x14ac:dyDescent="0.3">
      <c r="A620" s="2">
        <v>800578</v>
      </c>
      <c r="B620" s="10">
        <v>45730</v>
      </c>
      <c r="C620" s="2" t="s">
        <v>20</v>
      </c>
      <c r="D620" s="2" t="s">
        <v>21</v>
      </c>
      <c r="E620" s="2" t="s">
        <v>98</v>
      </c>
      <c r="F620" s="2" t="s">
        <v>41</v>
      </c>
      <c r="G620" s="2" t="s">
        <v>61</v>
      </c>
      <c r="H620" s="2" t="s">
        <v>25</v>
      </c>
      <c r="I620" s="2" t="s">
        <v>26</v>
      </c>
      <c r="J620" s="2" t="s">
        <v>120</v>
      </c>
      <c r="K620" s="2" t="s">
        <v>49</v>
      </c>
      <c r="L620" s="2" t="s">
        <v>50</v>
      </c>
      <c r="M620" s="2">
        <v>2</v>
      </c>
      <c r="N620" s="3">
        <v>1900000</v>
      </c>
      <c r="O620" s="3">
        <v>1907420.21</v>
      </c>
      <c r="P620" s="4">
        <v>0</v>
      </c>
      <c r="Q620" s="2">
        <v>0</v>
      </c>
      <c r="R620" s="3">
        <v>3814840.42</v>
      </c>
      <c r="S620" s="3">
        <v>0</v>
      </c>
      <c r="T620" s="3">
        <v>3814840.42</v>
      </c>
      <c r="U620" t="str">
        <f t="shared" si="9"/>
        <v>Achive</v>
      </c>
    </row>
    <row r="621" spans="1:21" x14ac:dyDescent="0.3">
      <c r="A621" s="2">
        <v>800292</v>
      </c>
      <c r="B621" s="10">
        <v>45731</v>
      </c>
      <c r="C621" s="2" t="s">
        <v>20</v>
      </c>
      <c r="D621" s="2" t="s">
        <v>74</v>
      </c>
      <c r="E621" s="2" t="s">
        <v>113</v>
      </c>
      <c r="F621" s="2" t="s">
        <v>23</v>
      </c>
      <c r="G621" s="2" t="s">
        <v>54</v>
      </c>
      <c r="H621" s="2" t="s">
        <v>25</v>
      </c>
      <c r="I621" s="2" t="s">
        <v>67</v>
      </c>
      <c r="J621" s="2" t="s">
        <v>112</v>
      </c>
      <c r="K621" s="2" t="s">
        <v>99</v>
      </c>
      <c r="L621" s="2" t="s">
        <v>29</v>
      </c>
      <c r="M621" s="2">
        <v>1</v>
      </c>
      <c r="N621" s="3">
        <v>1250000</v>
      </c>
      <c r="O621" s="3">
        <v>1229713.3799999999</v>
      </c>
      <c r="P621" s="4">
        <v>0</v>
      </c>
      <c r="Q621" s="2">
        <v>0</v>
      </c>
      <c r="R621" s="3">
        <v>1229713.3799999999</v>
      </c>
      <c r="S621" s="3">
        <v>0</v>
      </c>
      <c r="T621" s="3">
        <v>1229713.3799999999</v>
      </c>
      <c r="U621" t="str">
        <f t="shared" si="9"/>
        <v>Not achive</v>
      </c>
    </row>
    <row r="622" spans="1:21" x14ac:dyDescent="0.3">
      <c r="A622" s="2">
        <v>800647</v>
      </c>
      <c r="B622" s="10">
        <v>45731</v>
      </c>
      <c r="C622" s="2" t="s">
        <v>20</v>
      </c>
      <c r="D622" s="2" t="s">
        <v>21</v>
      </c>
      <c r="E622" s="2" t="s">
        <v>22</v>
      </c>
      <c r="F622" s="2" t="s">
        <v>41</v>
      </c>
      <c r="G622" s="2" t="s">
        <v>42</v>
      </c>
      <c r="H622" s="2" t="s">
        <v>25</v>
      </c>
      <c r="I622" s="2" t="s">
        <v>43</v>
      </c>
      <c r="J622" s="2" t="s">
        <v>101</v>
      </c>
      <c r="K622" s="2" t="s">
        <v>45</v>
      </c>
      <c r="L622" s="2" t="s">
        <v>92</v>
      </c>
      <c r="M622" s="2">
        <v>1</v>
      </c>
      <c r="N622" s="3">
        <v>1000000</v>
      </c>
      <c r="O622" s="3">
        <v>1018886.65</v>
      </c>
      <c r="P622" s="4">
        <v>5</v>
      </c>
      <c r="Q622" s="2">
        <v>0</v>
      </c>
      <c r="R622" s="3">
        <v>1018886.65</v>
      </c>
      <c r="S622" s="3">
        <v>50944.33</v>
      </c>
      <c r="T622" s="3">
        <v>967942.32</v>
      </c>
      <c r="U622" t="str">
        <f t="shared" si="9"/>
        <v>Not achive</v>
      </c>
    </row>
    <row r="623" spans="1:21" x14ac:dyDescent="0.3">
      <c r="A623" s="2">
        <v>800245</v>
      </c>
      <c r="B623" s="10">
        <v>45732</v>
      </c>
      <c r="C623" s="2" t="s">
        <v>69</v>
      </c>
      <c r="D623" s="2" t="s">
        <v>70</v>
      </c>
      <c r="E623" s="2" t="s">
        <v>136</v>
      </c>
      <c r="F623" s="2" t="s">
        <v>32</v>
      </c>
      <c r="G623" s="2" t="s">
        <v>61</v>
      </c>
      <c r="H623" s="2" t="s">
        <v>25</v>
      </c>
      <c r="I623" s="2" t="s">
        <v>67</v>
      </c>
      <c r="J623" s="2" t="s">
        <v>108</v>
      </c>
      <c r="K623" s="2" t="s">
        <v>89</v>
      </c>
      <c r="L623" s="2" t="s">
        <v>123</v>
      </c>
      <c r="M623" s="2">
        <v>2</v>
      </c>
      <c r="N623" s="3">
        <v>1800000</v>
      </c>
      <c r="O623" s="3">
        <v>1757878.46</v>
      </c>
      <c r="P623" s="4">
        <v>10</v>
      </c>
      <c r="Q623" s="2">
        <v>0</v>
      </c>
      <c r="R623" s="3">
        <v>3515756.92</v>
      </c>
      <c r="S623" s="3">
        <v>351575.69</v>
      </c>
      <c r="T623" s="3">
        <v>3164181.23</v>
      </c>
      <c r="U623" t="str">
        <f t="shared" si="9"/>
        <v>Achive</v>
      </c>
    </row>
    <row r="624" spans="1:21" x14ac:dyDescent="0.3">
      <c r="A624" s="2">
        <v>800299</v>
      </c>
      <c r="B624" s="10">
        <v>45732</v>
      </c>
      <c r="C624" s="2" t="s">
        <v>51</v>
      </c>
      <c r="D624" s="2" t="s">
        <v>52</v>
      </c>
      <c r="E624" s="2" t="s">
        <v>53</v>
      </c>
      <c r="F624" s="2" t="s">
        <v>46</v>
      </c>
      <c r="G624" s="2" t="s">
        <v>42</v>
      </c>
      <c r="H624" s="2" t="s">
        <v>25</v>
      </c>
      <c r="I624" s="2" t="s">
        <v>26</v>
      </c>
      <c r="J624" s="2" t="s">
        <v>76</v>
      </c>
      <c r="K624" s="2" t="s">
        <v>115</v>
      </c>
      <c r="L624" s="2" t="s">
        <v>122</v>
      </c>
      <c r="M624" s="2">
        <v>2</v>
      </c>
      <c r="N624" s="3">
        <v>700000</v>
      </c>
      <c r="O624" s="3">
        <v>701805.56</v>
      </c>
      <c r="P624" s="4">
        <v>0</v>
      </c>
      <c r="Q624" s="2">
        <v>0</v>
      </c>
      <c r="R624" s="3">
        <v>1403611.12</v>
      </c>
      <c r="S624" s="3">
        <v>0</v>
      </c>
      <c r="T624" s="3">
        <v>1403611.12</v>
      </c>
      <c r="U624" t="str">
        <f t="shared" si="9"/>
        <v>Not achive</v>
      </c>
    </row>
    <row r="625" spans="1:21" x14ac:dyDescent="0.3">
      <c r="A625" s="2">
        <v>800543</v>
      </c>
      <c r="B625" s="10">
        <v>45732</v>
      </c>
      <c r="C625" s="2" t="s">
        <v>51</v>
      </c>
      <c r="D625" s="2" t="s">
        <v>52</v>
      </c>
      <c r="E625" s="2" t="s">
        <v>139</v>
      </c>
      <c r="F625" s="2" t="s">
        <v>41</v>
      </c>
      <c r="G625" s="2" t="s">
        <v>33</v>
      </c>
      <c r="H625" s="2" t="s">
        <v>25</v>
      </c>
      <c r="I625" s="2" t="s">
        <v>26</v>
      </c>
      <c r="J625" s="2" t="s">
        <v>57</v>
      </c>
      <c r="K625" s="2" t="s">
        <v>103</v>
      </c>
      <c r="L625" s="2" t="s">
        <v>73</v>
      </c>
      <c r="M625" s="2">
        <v>1</v>
      </c>
      <c r="N625" s="3">
        <v>800000</v>
      </c>
      <c r="O625" s="3">
        <v>796827.51</v>
      </c>
      <c r="P625" s="4">
        <v>0</v>
      </c>
      <c r="Q625" s="2">
        <v>0</v>
      </c>
      <c r="R625" s="3">
        <v>796827.51</v>
      </c>
      <c r="S625" s="3">
        <v>0</v>
      </c>
      <c r="T625" s="3">
        <v>796827.51</v>
      </c>
      <c r="U625" t="str">
        <f t="shared" si="9"/>
        <v>Not achive</v>
      </c>
    </row>
    <row r="626" spans="1:21" x14ac:dyDescent="0.3">
      <c r="A626" s="2">
        <v>800151</v>
      </c>
      <c r="B626" s="10">
        <v>45733</v>
      </c>
      <c r="C626" s="2" t="s">
        <v>38</v>
      </c>
      <c r="D626" s="2" t="s">
        <v>79</v>
      </c>
      <c r="E626" s="2" t="s">
        <v>138</v>
      </c>
      <c r="F626" s="2" t="s">
        <v>23</v>
      </c>
      <c r="G626" s="2" t="s">
        <v>54</v>
      </c>
      <c r="H626" s="2" t="s">
        <v>25</v>
      </c>
      <c r="I626" s="2" t="s">
        <v>26</v>
      </c>
      <c r="J626" s="2" t="s">
        <v>81</v>
      </c>
      <c r="K626" s="2" t="s">
        <v>49</v>
      </c>
      <c r="L626" s="2" t="s">
        <v>37</v>
      </c>
      <c r="M626" s="2">
        <v>3</v>
      </c>
      <c r="N626" s="3">
        <v>1700000</v>
      </c>
      <c r="O626" s="3">
        <v>1695374.09</v>
      </c>
      <c r="P626" s="4">
        <v>5</v>
      </c>
      <c r="Q626" s="2">
        <v>0</v>
      </c>
      <c r="R626" s="3">
        <v>5086122.2699999996</v>
      </c>
      <c r="S626" s="3">
        <v>254306.11</v>
      </c>
      <c r="T626" s="3">
        <v>4831816.16</v>
      </c>
      <c r="U626" t="str">
        <f t="shared" si="9"/>
        <v>Achive</v>
      </c>
    </row>
    <row r="627" spans="1:21" x14ac:dyDescent="0.3">
      <c r="A627" s="2">
        <v>800505</v>
      </c>
      <c r="B627" s="10">
        <v>45733</v>
      </c>
      <c r="C627" s="2" t="s">
        <v>69</v>
      </c>
      <c r="D627" s="2" t="s">
        <v>83</v>
      </c>
      <c r="E627" s="2" t="s">
        <v>84</v>
      </c>
      <c r="F627" s="2" t="s">
        <v>46</v>
      </c>
      <c r="G627" s="2" t="s">
        <v>24</v>
      </c>
      <c r="H627" s="2" t="s">
        <v>25</v>
      </c>
      <c r="I627" s="2" t="s">
        <v>67</v>
      </c>
      <c r="J627" s="2" t="s">
        <v>108</v>
      </c>
      <c r="K627" s="2" t="s">
        <v>89</v>
      </c>
      <c r="L627" s="2" t="s">
        <v>29</v>
      </c>
      <c r="M627" s="2">
        <v>1</v>
      </c>
      <c r="N627" s="3">
        <v>1800000</v>
      </c>
      <c r="O627" s="3">
        <v>1747076.53</v>
      </c>
      <c r="P627" s="4">
        <v>0</v>
      </c>
      <c r="Q627" s="2">
        <v>0</v>
      </c>
      <c r="R627" s="3">
        <v>1747076.53</v>
      </c>
      <c r="S627" s="3">
        <v>0</v>
      </c>
      <c r="T627" s="3">
        <v>1747076.53</v>
      </c>
      <c r="U627" t="str">
        <f t="shared" si="9"/>
        <v>Not achive</v>
      </c>
    </row>
    <row r="628" spans="1:21" x14ac:dyDescent="0.3">
      <c r="A628" s="2">
        <v>800520</v>
      </c>
      <c r="B628" s="10">
        <v>45733</v>
      </c>
      <c r="C628" s="2" t="s">
        <v>51</v>
      </c>
      <c r="D628" s="2" t="s">
        <v>110</v>
      </c>
      <c r="E628" s="2" t="s">
        <v>111</v>
      </c>
      <c r="F628" s="2" t="s">
        <v>32</v>
      </c>
      <c r="G628" s="2" t="s">
        <v>90</v>
      </c>
      <c r="H628" s="2" t="s">
        <v>25</v>
      </c>
      <c r="I628" s="2" t="s">
        <v>26</v>
      </c>
      <c r="J628" s="2" t="s">
        <v>27</v>
      </c>
      <c r="K628" s="2" t="s">
        <v>58</v>
      </c>
      <c r="L628" s="2" t="s">
        <v>87</v>
      </c>
      <c r="M628" s="2">
        <v>2</v>
      </c>
      <c r="N628" s="3">
        <v>750000</v>
      </c>
      <c r="O628" s="3">
        <v>757932.04</v>
      </c>
      <c r="P628" s="4">
        <v>10</v>
      </c>
      <c r="Q628" s="2">
        <v>0</v>
      </c>
      <c r="R628" s="3">
        <v>1515864.08</v>
      </c>
      <c r="S628" s="3">
        <v>151586.41</v>
      </c>
      <c r="T628" s="3">
        <v>1364277.67</v>
      </c>
      <c r="U628" t="str">
        <f t="shared" si="9"/>
        <v>Not achive</v>
      </c>
    </row>
    <row r="629" spans="1:21" x14ac:dyDescent="0.3">
      <c r="A629" s="2">
        <v>800610</v>
      </c>
      <c r="B629" s="10">
        <v>45733</v>
      </c>
      <c r="C629" s="2" t="s">
        <v>20</v>
      </c>
      <c r="D629" s="2" t="s">
        <v>21</v>
      </c>
      <c r="E629" s="2" t="s">
        <v>22</v>
      </c>
      <c r="F629" s="2" t="s">
        <v>46</v>
      </c>
      <c r="G629" s="2" t="s">
        <v>116</v>
      </c>
      <c r="H629" s="2" t="s">
        <v>25</v>
      </c>
      <c r="I629" s="2" t="s">
        <v>67</v>
      </c>
      <c r="J629" s="2" t="s">
        <v>68</v>
      </c>
      <c r="K629" s="2" t="s">
        <v>117</v>
      </c>
      <c r="L629" s="2" t="s">
        <v>122</v>
      </c>
      <c r="M629" s="2">
        <v>3</v>
      </c>
      <c r="N629" s="3">
        <v>1200000</v>
      </c>
      <c r="O629" s="3">
        <v>1191058.6000000001</v>
      </c>
      <c r="P629" s="4">
        <v>2</v>
      </c>
      <c r="Q629" s="2">
        <v>0</v>
      </c>
      <c r="R629" s="3">
        <v>3573175.8</v>
      </c>
      <c r="S629" s="3">
        <v>71463.520000000004</v>
      </c>
      <c r="T629" s="3">
        <v>3501712.28</v>
      </c>
      <c r="U629" t="str">
        <f t="shared" si="9"/>
        <v>Achive</v>
      </c>
    </row>
    <row r="630" spans="1:21" x14ac:dyDescent="0.3">
      <c r="A630" s="2">
        <v>800315</v>
      </c>
      <c r="B630" s="10">
        <v>45734</v>
      </c>
      <c r="C630" s="2" t="s">
        <v>51</v>
      </c>
      <c r="D630" s="2" t="s">
        <v>106</v>
      </c>
      <c r="E630" s="2" t="s">
        <v>128</v>
      </c>
      <c r="F630" s="2" t="s">
        <v>23</v>
      </c>
      <c r="G630" s="2" t="s">
        <v>66</v>
      </c>
      <c r="H630" s="2" t="s">
        <v>25</v>
      </c>
      <c r="I630" s="2" t="s">
        <v>67</v>
      </c>
      <c r="J630" s="2" t="s">
        <v>85</v>
      </c>
      <c r="K630" s="2" t="s">
        <v>89</v>
      </c>
      <c r="L630" s="2" t="s">
        <v>59</v>
      </c>
      <c r="M630" s="2">
        <v>2</v>
      </c>
      <c r="N630" s="3">
        <v>1500000</v>
      </c>
      <c r="O630" s="3">
        <v>1490579.73</v>
      </c>
      <c r="P630" s="4">
        <v>0</v>
      </c>
      <c r="Q630" s="2">
        <v>0</v>
      </c>
      <c r="R630" s="3">
        <v>2981159.46</v>
      </c>
      <c r="S630" s="3">
        <v>0</v>
      </c>
      <c r="T630" s="3">
        <v>2981159.46</v>
      </c>
      <c r="U630" t="str">
        <f t="shared" si="9"/>
        <v>Achive</v>
      </c>
    </row>
    <row r="631" spans="1:21" x14ac:dyDescent="0.3">
      <c r="A631" s="2">
        <v>800275</v>
      </c>
      <c r="B631" s="10">
        <v>45735</v>
      </c>
      <c r="C631" s="2" t="s">
        <v>20</v>
      </c>
      <c r="D631" s="2" t="s">
        <v>30</v>
      </c>
      <c r="E631" s="2" t="s">
        <v>88</v>
      </c>
      <c r="F631" s="2" t="s">
        <v>65</v>
      </c>
      <c r="G631" s="2" t="s">
        <v>100</v>
      </c>
      <c r="H631" s="2" t="s">
        <v>25</v>
      </c>
      <c r="I631" s="2" t="s">
        <v>26</v>
      </c>
      <c r="J631" s="2" t="s">
        <v>120</v>
      </c>
      <c r="K631" s="2" t="s">
        <v>121</v>
      </c>
      <c r="L631" s="2" t="s">
        <v>92</v>
      </c>
      <c r="M631" s="2">
        <v>2</v>
      </c>
      <c r="N631" s="3">
        <v>1900000</v>
      </c>
      <c r="O631" s="3">
        <v>1864207.54</v>
      </c>
      <c r="P631" s="4">
        <v>0</v>
      </c>
      <c r="Q631" s="2">
        <v>0</v>
      </c>
      <c r="R631" s="3">
        <v>3728415.08</v>
      </c>
      <c r="S631" s="3">
        <v>0</v>
      </c>
      <c r="T631" s="3">
        <v>3728415.08</v>
      </c>
      <c r="U631" t="str">
        <f t="shared" si="9"/>
        <v>Achive</v>
      </c>
    </row>
    <row r="632" spans="1:21" x14ac:dyDescent="0.3">
      <c r="A632" s="2">
        <v>800464</v>
      </c>
      <c r="B632" s="10">
        <v>45735</v>
      </c>
      <c r="C632" s="2" t="s">
        <v>51</v>
      </c>
      <c r="D632" s="2" t="s">
        <v>55</v>
      </c>
      <c r="E632" s="2" t="s">
        <v>137</v>
      </c>
      <c r="F632" s="2" t="s">
        <v>32</v>
      </c>
      <c r="G632" s="2" t="s">
        <v>72</v>
      </c>
      <c r="H632" s="2" t="s">
        <v>25</v>
      </c>
      <c r="I632" s="2" t="s">
        <v>67</v>
      </c>
      <c r="J632" s="2" t="s">
        <v>108</v>
      </c>
      <c r="K632" s="2" t="s">
        <v>89</v>
      </c>
      <c r="L632" s="2" t="s">
        <v>122</v>
      </c>
      <c r="M632" s="2">
        <v>3</v>
      </c>
      <c r="N632" s="3">
        <v>1800000</v>
      </c>
      <c r="O632" s="3">
        <v>1751236.61</v>
      </c>
      <c r="P632" s="4">
        <v>0</v>
      </c>
      <c r="Q632" s="2">
        <v>0</v>
      </c>
      <c r="R632" s="3">
        <v>5253709.83</v>
      </c>
      <c r="S632" s="3">
        <v>0</v>
      </c>
      <c r="T632" s="3">
        <v>5253709.83</v>
      </c>
      <c r="U632" t="str">
        <f t="shared" si="9"/>
        <v>Achive</v>
      </c>
    </row>
    <row r="633" spans="1:21" x14ac:dyDescent="0.3">
      <c r="A633" s="2">
        <v>800014</v>
      </c>
      <c r="B633" s="10">
        <v>45736</v>
      </c>
      <c r="C633" s="2" t="s">
        <v>69</v>
      </c>
      <c r="D633" s="2" t="s">
        <v>95</v>
      </c>
      <c r="E633" s="2" t="s">
        <v>96</v>
      </c>
      <c r="F633" s="2" t="s">
        <v>23</v>
      </c>
      <c r="G633" s="2" t="s">
        <v>94</v>
      </c>
      <c r="H633" s="2" t="s">
        <v>25</v>
      </c>
      <c r="I633" s="2" t="s">
        <v>26</v>
      </c>
      <c r="J633" s="2" t="s">
        <v>57</v>
      </c>
      <c r="K633" s="2" t="s">
        <v>103</v>
      </c>
      <c r="L633" s="2" t="s">
        <v>59</v>
      </c>
      <c r="M633" s="2">
        <v>3</v>
      </c>
      <c r="N633" s="3">
        <v>800000</v>
      </c>
      <c r="O633" s="3">
        <v>792925.52</v>
      </c>
      <c r="P633" s="4">
        <v>2</v>
      </c>
      <c r="Q633" s="2">
        <v>0</v>
      </c>
      <c r="R633" s="3">
        <v>2378776.56</v>
      </c>
      <c r="S633" s="3">
        <v>47575.53</v>
      </c>
      <c r="T633" s="3">
        <v>2331201.0299999998</v>
      </c>
      <c r="U633" t="str">
        <f t="shared" si="9"/>
        <v>Achive</v>
      </c>
    </row>
    <row r="634" spans="1:21" x14ac:dyDescent="0.3">
      <c r="A634" s="2">
        <v>800243</v>
      </c>
      <c r="B634" s="10">
        <v>45736</v>
      </c>
      <c r="C634" s="2" t="s">
        <v>38</v>
      </c>
      <c r="D634" s="2" t="s">
        <v>79</v>
      </c>
      <c r="E634" s="2" t="s">
        <v>133</v>
      </c>
      <c r="F634" s="2" t="s">
        <v>65</v>
      </c>
      <c r="G634" s="2" t="s">
        <v>42</v>
      </c>
      <c r="H634" s="2" t="s">
        <v>25</v>
      </c>
      <c r="I634" s="2" t="s">
        <v>26</v>
      </c>
      <c r="J634" s="2" t="s">
        <v>27</v>
      </c>
      <c r="K634" s="2" t="s">
        <v>58</v>
      </c>
      <c r="L634" s="2" t="s">
        <v>59</v>
      </c>
      <c r="M634" s="2">
        <v>3</v>
      </c>
      <c r="N634" s="3">
        <v>750000</v>
      </c>
      <c r="O634" s="3">
        <v>750000.3</v>
      </c>
      <c r="P634" s="4">
        <v>5</v>
      </c>
      <c r="Q634" s="2">
        <v>0</v>
      </c>
      <c r="R634" s="3">
        <v>2250000.9</v>
      </c>
      <c r="S634" s="3">
        <v>112500.04</v>
      </c>
      <c r="T634" s="3">
        <v>2137500.86</v>
      </c>
      <c r="U634" t="str">
        <f t="shared" si="9"/>
        <v>Achive</v>
      </c>
    </row>
    <row r="635" spans="1:21" x14ac:dyDescent="0.3">
      <c r="A635" s="2">
        <v>800641</v>
      </c>
      <c r="B635" s="10">
        <v>45736</v>
      </c>
      <c r="C635" s="2" t="s">
        <v>69</v>
      </c>
      <c r="D635" s="2" t="s">
        <v>95</v>
      </c>
      <c r="E635" s="2" t="s">
        <v>96</v>
      </c>
      <c r="F635" s="2" t="s">
        <v>46</v>
      </c>
      <c r="G635" s="2" t="s">
        <v>66</v>
      </c>
      <c r="H635" s="2" t="s">
        <v>25</v>
      </c>
      <c r="I635" s="2" t="s">
        <v>67</v>
      </c>
      <c r="J635" s="2" t="s">
        <v>68</v>
      </c>
      <c r="K635" s="2" t="s">
        <v>117</v>
      </c>
      <c r="L635" s="2" t="s">
        <v>123</v>
      </c>
      <c r="M635" s="2">
        <v>1</v>
      </c>
      <c r="N635" s="3">
        <v>1200000</v>
      </c>
      <c r="O635" s="3">
        <v>1210205.69</v>
      </c>
      <c r="P635" s="4">
        <v>5</v>
      </c>
      <c r="Q635" s="2">
        <v>0</v>
      </c>
      <c r="R635" s="3">
        <v>1210205.69</v>
      </c>
      <c r="S635" s="3">
        <v>60510.28</v>
      </c>
      <c r="T635" s="3">
        <v>1149695.4099999999</v>
      </c>
      <c r="U635" t="str">
        <f t="shared" si="9"/>
        <v>Not achive</v>
      </c>
    </row>
    <row r="636" spans="1:21" x14ac:dyDescent="0.3">
      <c r="A636" s="2">
        <v>800212</v>
      </c>
      <c r="B636" s="10">
        <v>45738</v>
      </c>
      <c r="C636" s="2" t="s">
        <v>69</v>
      </c>
      <c r="D636" s="2" t="s">
        <v>70</v>
      </c>
      <c r="E636" s="2" t="s">
        <v>93</v>
      </c>
      <c r="F636" s="2" t="s">
        <v>32</v>
      </c>
      <c r="G636" s="2" t="s">
        <v>33</v>
      </c>
      <c r="H636" s="2" t="s">
        <v>25</v>
      </c>
      <c r="I636" s="2" t="s">
        <v>26</v>
      </c>
      <c r="J636" s="2" t="s">
        <v>76</v>
      </c>
      <c r="K636" s="2" t="s">
        <v>117</v>
      </c>
      <c r="L636" s="2" t="s">
        <v>123</v>
      </c>
      <c r="M636" s="2">
        <v>1</v>
      </c>
      <c r="N636" s="3">
        <v>700000</v>
      </c>
      <c r="O636" s="3">
        <v>712760.11</v>
      </c>
      <c r="P636" s="4">
        <v>7.5</v>
      </c>
      <c r="Q636" s="2">
        <v>0</v>
      </c>
      <c r="R636" s="3">
        <v>712760.11</v>
      </c>
      <c r="S636" s="3">
        <v>53457.01</v>
      </c>
      <c r="T636" s="3">
        <v>659303.1</v>
      </c>
      <c r="U636" t="str">
        <f t="shared" si="9"/>
        <v>Not achive</v>
      </c>
    </row>
    <row r="637" spans="1:21" x14ac:dyDescent="0.3">
      <c r="A637" s="2">
        <v>800060</v>
      </c>
      <c r="B637" s="10">
        <v>45740</v>
      </c>
      <c r="C637" s="2" t="s">
        <v>69</v>
      </c>
      <c r="D637" s="2" t="s">
        <v>70</v>
      </c>
      <c r="E637" s="2" t="s">
        <v>71</v>
      </c>
      <c r="F637" s="2" t="s">
        <v>65</v>
      </c>
      <c r="G637" s="2" t="s">
        <v>116</v>
      </c>
      <c r="H637" s="2" t="s">
        <v>25</v>
      </c>
      <c r="I637" s="2" t="s">
        <v>26</v>
      </c>
      <c r="J637" s="2" t="s">
        <v>120</v>
      </c>
      <c r="K637" s="2" t="s">
        <v>121</v>
      </c>
      <c r="L637" s="2" t="s">
        <v>73</v>
      </c>
      <c r="M637" s="2">
        <v>2</v>
      </c>
      <c r="N637" s="3">
        <v>1900000</v>
      </c>
      <c r="O637" s="3">
        <v>1847323.99</v>
      </c>
      <c r="P637" s="4">
        <v>0</v>
      </c>
      <c r="Q637" s="2">
        <v>0</v>
      </c>
      <c r="R637" s="3">
        <v>3694647.98</v>
      </c>
      <c r="S637" s="3">
        <v>0</v>
      </c>
      <c r="T637" s="3">
        <v>3694647.98</v>
      </c>
      <c r="U637" t="str">
        <f t="shared" si="9"/>
        <v>Achive</v>
      </c>
    </row>
    <row r="638" spans="1:21" x14ac:dyDescent="0.3">
      <c r="A638" s="2">
        <v>800085</v>
      </c>
      <c r="B638" s="10">
        <v>45741</v>
      </c>
      <c r="C638" s="2" t="s">
        <v>38</v>
      </c>
      <c r="D638" s="2" t="s">
        <v>63</v>
      </c>
      <c r="E638" s="2" t="s">
        <v>64</v>
      </c>
      <c r="F638" s="2" t="s">
        <v>23</v>
      </c>
      <c r="G638" s="2" t="s">
        <v>47</v>
      </c>
      <c r="H638" s="2" t="s">
        <v>25</v>
      </c>
      <c r="I638" s="2" t="s">
        <v>26</v>
      </c>
      <c r="J638" s="2" t="s">
        <v>76</v>
      </c>
      <c r="K638" s="2" t="s">
        <v>117</v>
      </c>
      <c r="L638" s="2" t="s">
        <v>37</v>
      </c>
      <c r="M638" s="2">
        <v>1</v>
      </c>
      <c r="N638" s="3">
        <v>700000</v>
      </c>
      <c r="O638" s="3">
        <v>687302.2</v>
      </c>
      <c r="P638" s="4">
        <v>7.5</v>
      </c>
      <c r="Q638" s="2">
        <v>0</v>
      </c>
      <c r="R638" s="3">
        <v>687302.2</v>
      </c>
      <c r="S638" s="3">
        <v>51547.67</v>
      </c>
      <c r="T638" s="3">
        <v>635754.53</v>
      </c>
      <c r="U638" t="str">
        <f t="shared" si="9"/>
        <v>Not achive</v>
      </c>
    </row>
    <row r="639" spans="1:21" x14ac:dyDescent="0.3">
      <c r="A639" s="2">
        <v>800162</v>
      </c>
      <c r="B639" s="10">
        <v>45741</v>
      </c>
      <c r="C639" s="2" t="s">
        <v>69</v>
      </c>
      <c r="D639" s="2" t="s">
        <v>83</v>
      </c>
      <c r="E639" s="2" t="s">
        <v>97</v>
      </c>
      <c r="F639" s="2" t="s">
        <v>32</v>
      </c>
      <c r="G639" s="2" t="s">
        <v>66</v>
      </c>
      <c r="H639" s="2" t="s">
        <v>25</v>
      </c>
      <c r="I639" s="2" t="s">
        <v>26</v>
      </c>
      <c r="J639" s="2" t="s">
        <v>57</v>
      </c>
      <c r="K639" s="2" t="s">
        <v>99</v>
      </c>
      <c r="L639" s="2" t="s">
        <v>92</v>
      </c>
      <c r="M639" s="2">
        <v>2</v>
      </c>
      <c r="N639" s="3">
        <v>800000</v>
      </c>
      <c r="O639" s="3">
        <v>781911.03</v>
      </c>
      <c r="P639" s="4">
        <v>2</v>
      </c>
      <c r="Q639" s="2">
        <v>1</v>
      </c>
      <c r="R639" s="3">
        <v>1563822.06</v>
      </c>
      <c r="S639" s="3">
        <v>31276.44</v>
      </c>
      <c r="T639" s="3">
        <v>1532545.62</v>
      </c>
      <c r="U639" t="str">
        <f t="shared" si="9"/>
        <v>Not achive</v>
      </c>
    </row>
    <row r="640" spans="1:21" x14ac:dyDescent="0.3">
      <c r="A640" s="2">
        <v>800377</v>
      </c>
      <c r="B640" s="10">
        <v>45741</v>
      </c>
      <c r="C640" s="2" t="s">
        <v>20</v>
      </c>
      <c r="D640" s="2" t="s">
        <v>74</v>
      </c>
      <c r="E640" s="2" t="s">
        <v>113</v>
      </c>
      <c r="F640" s="2" t="s">
        <v>32</v>
      </c>
      <c r="G640" s="2" t="s">
        <v>24</v>
      </c>
      <c r="H640" s="2" t="s">
        <v>25</v>
      </c>
      <c r="I640" s="2" t="s">
        <v>34</v>
      </c>
      <c r="J640" s="2" t="s">
        <v>35</v>
      </c>
      <c r="K640" s="2" t="s">
        <v>36</v>
      </c>
      <c r="L640" s="2" t="s">
        <v>73</v>
      </c>
      <c r="M640" s="2">
        <v>6</v>
      </c>
      <c r="N640" s="3">
        <v>550000</v>
      </c>
      <c r="O640" s="3">
        <v>536774.86</v>
      </c>
      <c r="P640" s="4">
        <v>2</v>
      </c>
      <c r="Q640" s="2">
        <v>0</v>
      </c>
      <c r="R640" s="3">
        <v>3220649.16</v>
      </c>
      <c r="S640" s="3">
        <v>64412.98</v>
      </c>
      <c r="T640" s="3">
        <v>3156236.18</v>
      </c>
      <c r="U640" t="str">
        <f t="shared" si="9"/>
        <v>Achive</v>
      </c>
    </row>
    <row r="641" spans="1:21" x14ac:dyDescent="0.3">
      <c r="A641" s="2">
        <v>800425</v>
      </c>
      <c r="B641" s="10">
        <v>45742</v>
      </c>
      <c r="C641" s="2" t="s">
        <v>69</v>
      </c>
      <c r="D641" s="2" t="s">
        <v>83</v>
      </c>
      <c r="E641" s="2" t="s">
        <v>97</v>
      </c>
      <c r="F641" s="2" t="s">
        <v>32</v>
      </c>
      <c r="G641" s="2" t="s">
        <v>42</v>
      </c>
      <c r="H641" s="2" t="s">
        <v>25</v>
      </c>
      <c r="I641" s="2" t="s">
        <v>26</v>
      </c>
      <c r="J641" s="2" t="s">
        <v>57</v>
      </c>
      <c r="K641" s="2" t="s">
        <v>99</v>
      </c>
      <c r="L641" s="2" t="s">
        <v>59</v>
      </c>
      <c r="M641" s="2">
        <v>2</v>
      </c>
      <c r="N641" s="3">
        <v>800000</v>
      </c>
      <c r="O641" s="3">
        <v>805844.34</v>
      </c>
      <c r="P641" s="4">
        <v>7.5</v>
      </c>
      <c r="Q641" s="2">
        <v>0</v>
      </c>
      <c r="R641" s="3">
        <v>1611688.68</v>
      </c>
      <c r="S641" s="3">
        <v>120876.65</v>
      </c>
      <c r="T641" s="3">
        <v>1490812.03</v>
      </c>
      <c r="U641" t="str">
        <f t="shared" si="9"/>
        <v>Not achive</v>
      </c>
    </row>
    <row r="642" spans="1:21" x14ac:dyDescent="0.3">
      <c r="A642" s="2">
        <v>800004</v>
      </c>
      <c r="B642" s="10">
        <v>45743</v>
      </c>
      <c r="C642" s="2" t="s">
        <v>38</v>
      </c>
      <c r="D642" s="2" t="s">
        <v>39</v>
      </c>
      <c r="E642" s="2" t="s">
        <v>40</v>
      </c>
      <c r="F642" s="2" t="s">
        <v>32</v>
      </c>
      <c r="G642" s="2" t="s">
        <v>61</v>
      </c>
      <c r="H642" s="2" t="s">
        <v>25</v>
      </c>
      <c r="I642" s="2" t="s">
        <v>43</v>
      </c>
      <c r="J642" s="2" t="s">
        <v>101</v>
      </c>
      <c r="K642" s="2" t="s">
        <v>102</v>
      </c>
      <c r="L642" s="2" t="s">
        <v>50</v>
      </c>
      <c r="M642" s="2">
        <v>5</v>
      </c>
      <c r="N642" s="3">
        <v>1000000</v>
      </c>
      <c r="O642" s="3">
        <v>984658.91</v>
      </c>
      <c r="P642" s="4">
        <v>7.5</v>
      </c>
      <c r="Q642" s="2">
        <v>0</v>
      </c>
      <c r="R642" s="3">
        <v>4923294.55</v>
      </c>
      <c r="S642" s="3">
        <v>369247.09</v>
      </c>
      <c r="T642" s="3">
        <v>4554047.46</v>
      </c>
      <c r="U642" t="str">
        <f t="shared" ref="U642:U651" si="10">IF(T642&gt;2000000,"Achive","Not achive")</f>
        <v>Achive</v>
      </c>
    </row>
    <row r="643" spans="1:21" x14ac:dyDescent="0.3">
      <c r="A643" s="2">
        <v>800165</v>
      </c>
      <c r="B643" s="10">
        <v>45743</v>
      </c>
      <c r="C643" s="2" t="s">
        <v>38</v>
      </c>
      <c r="D643" s="2" t="s">
        <v>118</v>
      </c>
      <c r="E643" s="2" t="s">
        <v>125</v>
      </c>
      <c r="F643" s="2" t="s">
        <v>32</v>
      </c>
      <c r="G643" s="2" t="s">
        <v>66</v>
      </c>
      <c r="H643" s="2" t="s">
        <v>25</v>
      </c>
      <c r="I643" s="2" t="s">
        <v>26</v>
      </c>
      <c r="J643" s="2" t="s">
        <v>76</v>
      </c>
      <c r="K643" s="2" t="s">
        <v>77</v>
      </c>
      <c r="L643" s="2" t="s">
        <v>78</v>
      </c>
      <c r="M643" s="2">
        <v>3</v>
      </c>
      <c r="N643" s="3">
        <v>700000</v>
      </c>
      <c r="O643" s="3">
        <v>689447.47</v>
      </c>
      <c r="P643" s="4">
        <v>5</v>
      </c>
      <c r="Q643" s="2">
        <v>0</v>
      </c>
      <c r="R643" s="3">
        <v>2068342.41</v>
      </c>
      <c r="S643" s="3">
        <v>103417.12</v>
      </c>
      <c r="T643" s="3">
        <v>1964925.29</v>
      </c>
      <c r="U643" t="str">
        <f t="shared" si="10"/>
        <v>Not achive</v>
      </c>
    </row>
    <row r="644" spans="1:21" x14ac:dyDescent="0.3">
      <c r="A644" s="2">
        <v>800296</v>
      </c>
      <c r="B644" s="10">
        <v>45743</v>
      </c>
      <c r="C644" s="2" t="s">
        <v>20</v>
      </c>
      <c r="D644" s="2" t="s">
        <v>21</v>
      </c>
      <c r="E644" s="2" t="s">
        <v>98</v>
      </c>
      <c r="F644" s="2" t="s">
        <v>46</v>
      </c>
      <c r="G644" s="2" t="s">
        <v>90</v>
      </c>
      <c r="H644" s="2" t="s">
        <v>25</v>
      </c>
      <c r="I644" s="2" t="s">
        <v>43</v>
      </c>
      <c r="J644" s="2" t="s">
        <v>101</v>
      </c>
      <c r="K644" s="2" t="s">
        <v>45</v>
      </c>
      <c r="L644" s="2" t="s">
        <v>29</v>
      </c>
      <c r="M644" s="2">
        <v>2</v>
      </c>
      <c r="N644" s="3">
        <v>1000000</v>
      </c>
      <c r="O644" s="3">
        <v>971653.55</v>
      </c>
      <c r="P644" s="4">
        <v>0</v>
      </c>
      <c r="Q644" s="2">
        <v>0</v>
      </c>
      <c r="R644" s="3">
        <v>1943307.1</v>
      </c>
      <c r="S644" s="3">
        <v>0</v>
      </c>
      <c r="T644" s="3">
        <v>1943307.1</v>
      </c>
      <c r="U644" t="str">
        <f t="shared" si="10"/>
        <v>Not achive</v>
      </c>
    </row>
    <row r="645" spans="1:21" x14ac:dyDescent="0.3">
      <c r="A645" s="2">
        <v>800477</v>
      </c>
      <c r="B645" s="10">
        <v>45743</v>
      </c>
      <c r="C645" s="2" t="s">
        <v>69</v>
      </c>
      <c r="D645" s="2" t="s">
        <v>95</v>
      </c>
      <c r="E645" s="2" t="s">
        <v>135</v>
      </c>
      <c r="F645" s="2" t="s">
        <v>41</v>
      </c>
      <c r="G645" s="2" t="s">
        <v>116</v>
      </c>
      <c r="H645" s="2" t="s">
        <v>25</v>
      </c>
      <c r="I645" s="2" t="s">
        <v>67</v>
      </c>
      <c r="J645" s="2" t="s">
        <v>112</v>
      </c>
      <c r="K645" s="2" t="s">
        <v>58</v>
      </c>
      <c r="L645" s="2" t="s">
        <v>122</v>
      </c>
      <c r="M645" s="2">
        <v>3</v>
      </c>
      <c r="N645" s="3">
        <v>1250000</v>
      </c>
      <c r="O645" s="3">
        <v>1234394.8799999999</v>
      </c>
      <c r="P645" s="4">
        <v>7.5</v>
      </c>
      <c r="Q645" s="2">
        <v>0</v>
      </c>
      <c r="R645" s="3">
        <v>3703184.64</v>
      </c>
      <c r="S645" s="3">
        <v>277738.84999999998</v>
      </c>
      <c r="T645" s="3">
        <v>3425445.79</v>
      </c>
      <c r="U645" t="str">
        <f t="shared" si="10"/>
        <v>Achive</v>
      </c>
    </row>
    <row r="646" spans="1:21" x14ac:dyDescent="0.3">
      <c r="A646" s="2">
        <v>800423</v>
      </c>
      <c r="B646" s="10">
        <v>45745</v>
      </c>
      <c r="C646" s="2" t="s">
        <v>51</v>
      </c>
      <c r="D646" s="2" t="s">
        <v>106</v>
      </c>
      <c r="E646" s="2" t="s">
        <v>128</v>
      </c>
      <c r="F646" s="2" t="s">
        <v>23</v>
      </c>
      <c r="G646" s="2" t="s">
        <v>61</v>
      </c>
      <c r="H646" s="2" t="s">
        <v>25</v>
      </c>
      <c r="I646" s="2" t="s">
        <v>26</v>
      </c>
      <c r="J646" s="2" t="s">
        <v>48</v>
      </c>
      <c r="K646" s="2" t="s">
        <v>62</v>
      </c>
      <c r="L646" s="2" t="s">
        <v>29</v>
      </c>
      <c r="M646" s="2">
        <v>2</v>
      </c>
      <c r="N646" s="3">
        <v>1200000</v>
      </c>
      <c r="O646" s="3">
        <v>1197481.19</v>
      </c>
      <c r="P646" s="4">
        <v>10</v>
      </c>
      <c r="Q646" s="2">
        <v>0</v>
      </c>
      <c r="R646" s="3">
        <v>2394962.38</v>
      </c>
      <c r="S646" s="3">
        <v>239496.24</v>
      </c>
      <c r="T646" s="3">
        <v>2155466.14</v>
      </c>
      <c r="U646" t="str">
        <f t="shared" si="10"/>
        <v>Achive</v>
      </c>
    </row>
    <row r="647" spans="1:21" x14ac:dyDescent="0.3">
      <c r="A647" s="2">
        <v>800570</v>
      </c>
      <c r="B647" s="10">
        <v>45745</v>
      </c>
      <c r="C647" s="2" t="s">
        <v>51</v>
      </c>
      <c r="D647" s="2" t="s">
        <v>106</v>
      </c>
      <c r="E647" s="2" t="s">
        <v>128</v>
      </c>
      <c r="F647" s="2" t="s">
        <v>46</v>
      </c>
      <c r="G647" s="2" t="s">
        <v>47</v>
      </c>
      <c r="H647" s="2" t="s">
        <v>25</v>
      </c>
      <c r="I647" s="2" t="s">
        <v>26</v>
      </c>
      <c r="J647" s="2" t="s">
        <v>57</v>
      </c>
      <c r="K647" s="2" t="s">
        <v>99</v>
      </c>
      <c r="L647" s="2" t="s">
        <v>29</v>
      </c>
      <c r="M647" s="2">
        <v>3</v>
      </c>
      <c r="N647" s="3">
        <v>800000</v>
      </c>
      <c r="O647" s="3">
        <v>779947.43</v>
      </c>
      <c r="P647" s="4">
        <v>2</v>
      </c>
      <c r="Q647" s="2">
        <v>0</v>
      </c>
      <c r="R647" s="3">
        <v>2339842.29</v>
      </c>
      <c r="S647" s="3">
        <v>46796.85</v>
      </c>
      <c r="T647" s="3">
        <v>2293045.44</v>
      </c>
      <c r="U647" t="str">
        <f t="shared" si="10"/>
        <v>Achive</v>
      </c>
    </row>
    <row r="648" spans="1:21" x14ac:dyDescent="0.3">
      <c r="A648" s="2">
        <v>800295</v>
      </c>
      <c r="B648" s="10">
        <v>45746</v>
      </c>
      <c r="C648" s="2" t="s">
        <v>69</v>
      </c>
      <c r="D648" s="2" t="s">
        <v>70</v>
      </c>
      <c r="E648" s="2" t="s">
        <v>71</v>
      </c>
      <c r="F648" s="2" t="s">
        <v>23</v>
      </c>
      <c r="G648" s="2" t="s">
        <v>33</v>
      </c>
      <c r="H648" s="2" t="s">
        <v>25</v>
      </c>
      <c r="I648" s="2" t="s">
        <v>26</v>
      </c>
      <c r="J648" s="2" t="s">
        <v>48</v>
      </c>
      <c r="K648" s="2" t="s">
        <v>62</v>
      </c>
      <c r="L648" s="2" t="s">
        <v>123</v>
      </c>
      <c r="M648" s="2">
        <v>1</v>
      </c>
      <c r="N648" s="3">
        <v>1200000</v>
      </c>
      <c r="O648" s="3">
        <v>1194916.18</v>
      </c>
      <c r="P648" s="4">
        <v>0</v>
      </c>
      <c r="Q648" s="2">
        <v>0</v>
      </c>
      <c r="R648" s="3">
        <v>1194916.18</v>
      </c>
      <c r="S648" s="3">
        <v>0</v>
      </c>
      <c r="T648" s="3">
        <v>1194916.18</v>
      </c>
      <c r="U648" t="str">
        <f t="shared" si="10"/>
        <v>Not achive</v>
      </c>
    </row>
    <row r="649" spans="1:21" x14ac:dyDescent="0.3">
      <c r="A649" s="2">
        <v>800300</v>
      </c>
      <c r="B649" s="10">
        <v>45746</v>
      </c>
      <c r="C649" s="2" t="s">
        <v>51</v>
      </c>
      <c r="D649" s="2" t="s">
        <v>110</v>
      </c>
      <c r="E649" s="2" t="s">
        <v>134</v>
      </c>
      <c r="F649" s="2" t="s">
        <v>46</v>
      </c>
      <c r="G649" s="2" t="s">
        <v>54</v>
      </c>
      <c r="H649" s="2" t="s">
        <v>25</v>
      </c>
      <c r="I649" s="2" t="s">
        <v>34</v>
      </c>
      <c r="J649" s="2" t="s">
        <v>35</v>
      </c>
      <c r="K649" s="2" t="s">
        <v>45</v>
      </c>
      <c r="L649" s="2" t="s">
        <v>122</v>
      </c>
      <c r="M649" s="2">
        <v>3</v>
      </c>
      <c r="N649" s="3">
        <v>550000</v>
      </c>
      <c r="O649" s="3">
        <v>550229.46</v>
      </c>
      <c r="P649" s="4">
        <v>5</v>
      </c>
      <c r="Q649" s="2">
        <v>0</v>
      </c>
      <c r="R649" s="3">
        <v>1650688.38</v>
      </c>
      <c r="S649" s="3">
        <v>82534.42</v>
      </c>
      <c r="T649" s="3">
        <v>1568153.96</v>
      </c>
      <c r="U649" t="str">
        <f t="shared" si="10"/>
        <v>Not achive</v>
      </c>
    </row>
    <row r="650" spans="1:21" x14ac:dyDescent="0.3">
      <c r="A650" s="2">
        <v>800302</v>
      </c>
      <c r="B650" s="10">
        <v>45747</v>
      </c>
      <c r="C650" s="2" t="s">
        <v>38</v>
      </c>
      <c r="D650" s="2" t="s">
        <v>118</v>
      </c>
      <c r="E650" s="2" t="s">
        <v>125</v>
      </c>
      <c r="F650" s="2" t="s">
        <v>41</v>
      </c>
      <c r="G650" s="2" t="s">
        <v>66</v>
      </c>
      <c r="H650" s="2" t="s">
        <v>25</v>
      </c>
      <c r="I650" s="2" t="s">
        <v>26</v>
      </c>
      <c r="J650" s="2" t="s">
        <v>27</v>
      </c>
      <c r="K650" s="2" t="s">
        <v>28</v>
      </c>
      <c r="L650" s="2" t="s">
        <v>78</v>
      </c>
      <c r="M650" s="2">
        <v>3</v>
      </c>
      <c r="N650" s="3">
        <v>750000</v>
      </c>
      <c r="O650" s="3">
        <v>739692.64</v>
      </c>
      <c r="P650" s="4">
        <v>5</v>
      </c>
      <c r="Q650" s="2">
        <v>0</v>
      </c>
      <c r="R650" s="3">
        <v>2219077.92</v>
      </c>
      <c r="S650" s="3">
        <v>110953.9</v>
      </c>
      <c r="T650" s="3">
        <v>2108124.02</v>
      </c>
      <c r="U650" t="str">
        <f t="shared" si="10"/>
        <v>Achive</v>
      </c>
    </row>
    <row r="651" spans="1:21" x14ac:dyDescent="0.3">
      <c r="A651" s="2">
        <v>800489</v>
      </c>
      <c r="B651" s="10">
        <v>45747</v>
      </c>
      <c r="C651" s="2" t="s">
        <v>38</v>
      </c>
      <c r="D651" s="2" t="s">
        <v>39</v>
      </c>
      <c r="E651" s="2" t="s">
        <v>126</v>
      </c>
      <c r="F651" s="2" t="s">
        <v>32</v>
      </c>
      <c r="G651" s="2" t="s">
        <v>24</v>
      </c>
      <c r="H651" s="2" t="s">
        <v>25</v>
      </c>
      <c r="I651" s="2" t="s">
        <v>26</v>
      </c>
      <c r="J651" s="2" t="s">
        <v>27</v>
      </c>
      <c r="K651" s="2" t="s">
        <v>28</v>
      </c>
      <c r="L651" s="2" t="s">
        <v>29</v>
      </c>
      <c r="M651" s="2">
        <v>1</v>
      </c>
      <c r="N651" s="3">
        <v>750000</v>
      </c>
      <c r="O651" s="3">
        <v>743689.33</v>
      </c>
      <c r="P651" s="4">
        <v>10</v>
      </c>
      <c r="Q651" s="2">
        <v>0</v>
      </c>
      <c r="R651" s="3">
        <v>743689.33</v>
      </c>
      <c r="S651" s="3">
        <v>74368.929999999993</v>
      </c>
      <c r="T651" s="3">
        <v>669320.4</v>
      </c>
      <c r="U651" t="str">
        <f t="shared" si="10"/>
        <v>Not achive</v>
      </c>
    </row>
  </sheetData>
  <autoFilter ref="B1:B652" xr:uid="{00000000-0001-0000-0000-000000000000}">
    <sortState xmlns:xlrd2="http://schemas.microsoft.com/office/spreadsheetml/2017/richdata2" ref="A2:U652">
      <sortCondition ref="B1:B652"/>
    </sortState>
  </autoFilter>
  <sortState xmlns:xlrd2="http://schemas.microsoft.com/office/spreadsheetml/2017/richdata2" ref="A2:U652">
    <sortCondition ref="B1:B652"/>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Card</vt:lpstr>
      <vt:lpstr>Insights</vt:lpstr>
      <vt:lpstr>REGION WISE SALE</vt:lpstr>
      <vt:lpstr>CHANNEL WISE SALES</vt:lpstr>
      <vt:lpstr>Segment-wise Sales</vt:lpstr>
      <vt:lpstr>Top 5 Salespersons</vt:lpstr>
      <vt:lpstr>Gross vs Net Sales Month-wise</vt:lpstr>
      <vt:lpstr>Tata Motors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sharma</cp:lastModifiedBy>
  <cp:lastPrinted>2026-09-27T11:16:26Z</cp:lastPrinted>
  <dcterms:created xsi:type="dcterms:W3CDTF">2026-09-22T01:33:16Z</dcterms:created>
  <dcterms:modified xsi:type="dcterms:W3CDTF">2026-09-28T14:27:08Z</dcterms:modified>
</cp:coreProperties>
</file>